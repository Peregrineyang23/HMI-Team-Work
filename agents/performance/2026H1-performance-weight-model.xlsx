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01_权重设置" sheetId="2" state="visible" r:id="rId2"/>
    <sheet xmlns:r="http://schemas.openxmlformats.org/officeDocument/2006/relationships" name="02_主线打分规则" sheetId="3" state="visible" r:id="rId3"/>
    <sheet xmlns:r="http://schemas.openxmlformats.org/officeDocument/2006/relationships" name="03_映射表" sheetId="4" state="visible" r:id="rId4"/>
    <sheet xmlns:r="http://schemas.openxmlformats.org/officeDocument/2006/relationships" name="04_员工输入" sheetId="5" state="visible" r:id="rId5"/>
    <sheet xmlns:r="http://schemas.openxmlformats.org/officeDocument/2006/relationships" name="05_模型算分" sheetId="6" state="visible" r:id="rId6"/>
    <sheet xmlns:r="http://schemas.openxmlformats.org/officeDocument/2006/relationships" name="06_当前评分快照" sheetId="7" state="visible" r:id="rId7"/>
    <sheet xmlns:r="http://schemas.openxmlformats.org/officeDocument/2006/relationships" name="99_版本记录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008000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CC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bottom style="hair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项目</t>
        </is>
      </c>
      <c r="B1" s="1" t="inlineStr">
        <is>
          <t>2026H1 设计团队定量分析模型</t>
        </is>
      </c>
      <c r="C1" s="1" t="n"/>
      <c r="D1" s="1" t="n"/>
      <c r="E1" s="1" t="n"/>
      <c r="F1" s="1" t="n"/>
      <c r="G1" s="1" t="n"/>
    </row>
    <row r="2">
      <c r="A2" t="inlineStr">
        <is>
          <t>模型版本</t>
        </is>
      </c>
      <c r="B2" t="inlineStr">
        <is>
          <t>0.2</t>
        </is>
      </c>
    </row>
    <row r="3">
      <c r="A3" t="inlineStr">
        <is>
          <t>生成日期</t>
        </is>
      </c>
      <c r="B3" t="inlineStr">
        <is>
          <t>2026-07-08</t>
        </is>
      </c>
    </row>
    <row r="4">
      <c r="A4" t="inlineStr">
        <is>
          <t>本地评价表目录</t>
        </is>
      </c>
      <c r="B4" t="inlineStr">
        <is>
          <t>/Users/frankyang/my_work/My_Team/2025 Mid-year review/xlsx</t>
        </is>
      </c>
    </row>
    <row r="5">
      <c r="A5" t="inlineStr">
        <is>
          <t>说明</t>
        </is>
      </c>
      <c r="B5" t="inlineStr">
        <is>
          <t>蓝色/黄色单元格为可调参数；模型分会根据权重和后续证据接入动态重算。</t>
        </is>
      </c>
    </row>
    <row r="6">
      <c r="A6" t="inlineStr">
        <is>
          <t>重要提醒</t>
        </is>
      </c>
      <c r="B6" t="inlineStr">
        <is>
          <t>当前本地员工评价表均为空模板，模型预估分不是最终绩效分，需要管理者校准。</t>
        </is>
      </c>
    </row>
    <row r="7"/>
    <row r="8">
      <c r="A8" s="2" t="inlineStr">
        <is>
          <t>姓名</t>
        </is>
      </c>
      <c r="B8" s="2" t="inlineStr">
        <is>
          <t>分析状态</t>
        </is>
      </c>
      <c r="C8" s="2" t="inlineStr">
        <is>
          <t>组织团队</t>
        </is>
      </c>
      <c r="D8" s="2" t="inlineStr">
        <is>
          <t>本地表状态</t>
        </is>
      </c>
      <c r="E8" s="2" t="inlineStr">
        <is>
          <t>模型预估分</t>
        </is>
      </c>
      <c r="F8" s="2" t="inlineStr">
        <is>
          <t>模型档位</t>
        </is>
      </c>
      <c r="G8" s="2" t="inlineStr">
        <is>
          <t>建议动作</t>
        </is>
      </c>
    </row>
    <row r="9">
      <c r="A9" s="3">
        <f>'05_模型算分'!A2</f>
        <v/>
      </c>
      <c r="B9" s="3">
        <f>'05_模型算分'!B2</f>
        <v/>
      </c>
      <c r="C9" s="3">
        <f>'05_模型算分'!C2</f>
        <v/>
      </c>
      <c r="D9" s="3">
        <f>'05_模型算分'!D2</f>
        <v/>
      </c>
      <c r="E9" s="3">
        <f>'05_模型算分'!O2</f>
        <v/>
      </c>
      <c r="F9" s="3">
        <f>'05_模型算分'!P2</f>
        <v/>
      </c>
      <c r="G9" s="3">
        <f>'05_模型算分'!Q2</f>
        <v/>
      </c>
    </row>
    <row r="10">
      <c r="A10" s="3">
        <f>'05_模型算分'!A3</f>
        <v/>
      </c>
      <c r="B10" s="3">
        <f>'05_模型算分'!B3</f>
        <v/>
      </c>
      <c r="C10" s="3">
        <f>'05_模型算分'!C3</f>
        <v/>
      </c>
      <c r="D10" s="3">
        <f>'05_模型算分'!D3</f>
        <v/>
      </c>
      <c r="E10" s="3">
        <f>'05_模型算分'!O3</f>
        <v/>
      </c>
      <c r="F10" s="3">
        <f>'05_模型算分'!P3</f>
        <v/>
      </c>
      <c r="G10" s="3">
        <f>'05_模型算分'!Q3</f>
        <v/>
      </c>
    </row>
    <row r="11">
      <c r="A11" s="3">
        <f>'05_模型算分'!A4</f>
        <v/>
      </c>
      <c r="B11" s="3">
        <f>'05_模型算分'!B4</f>
        <v/>
      </c>
      <c r="C11" s="3">
        <f>'05_模型算分'!C4</f>
        <v/>
      </c>
      <c r="D11" s="3">
        <f>'05_模型算分'!D4</f>
        <v/>
      </c>
      <c r="E11" s="3">
        <f>'05_模型算分'!O4</f>
        <v/>
      </c>
      <c r="F11" s="3">
        <f>'05_模型算分'!P4</f>
        <v/>
      </c>
      <c r="G11" s="3">
        <f>'05_模型算分'!Q4</f>
        <v/>
      </c>
    </row>
    <row r="12">
      <c r="A12" s="3">
        <f>'05_模型算分'!A5</f>
        <v/>
      </c>
      <c r="B12" s="3">
        <f>'05_模型算分'!B5</f>
        <v/>
      </c>
      <c r="C12" s="3">
        <f>'05_模型算分'!C5</f>
        <v/>
      </c>
      <c r="D12" s="3">
        <f>'05_模型算分'!D5</f>
        <v/>
      </c>
      <c r="E12" s="3">
        <f>'05_模型算分'!O5</f>
        <v/>
      </c>
      <c r="F12" s="3">
        <f>'05_模型算分'!P5</f>
        <v/>
      </c>
      <c r="G12" s="3">
        <f>'05_模型算分'!Q5</f>
        <v/>
      </c>
    </row>
    <row r="13">
      <c r="A13" s="3">
        <f>'05_模型算分'!A6</f>
        <v/>
      </c>
      <c r="B13" s="3">
        <f>'05_模型算分'!B6</f>
        <v/>
      </c>
      <c r="C13" s="3">
        <f>'05_模型算分'!C6</f>
        <v/>
      </c>
      <c r="D13" s="3">
        <f>'05_模型算分'!D6</f>
        <v/>
      </c>
      <c r="E13" s="3">
        <f>'05_模型算分'!O6</f>
        <v/>
      </c>
      <c r="F13" s="3">
        <f>'05_模型算分'!P6</f>
        <v/>
      </c>
      <c r="G13" s="3">
        <f>'05_模型算分'!Q6</f>
        <v/>
      </c>
    </row>
    <row r="14">
      <c r="A14" s="3">
        <f>'05_模型算分'!A7</f>
        <v/>
      </c>
      <c r="B14" s="3">
        <f>'05_模型算分'!B7</f>
        <v/>
      </c>
      <c r="C14" s="3">
        <f>'05_模型算分'!C7</f>
        <v/>
      </c>
      <c r="D14" s="3">
        <f>'05_模型算分'!D7</f>
        <v/>
      </c>
      <c r="E14" s="3">
        <f>'05_模型算分'!O7</f>
        <v/>
      </c>
      <c r="F14" s="3">
        <f>'05_模型算分'!P7</f>
        <v/>
      </c>
      <c r="G14" s="3">
        <f>'05_模型算分'!Q7</f>
        <v/>
      </c>
    </row>
    <row r="15">
      <c r="A15" s="3">
        <f>'05_模型算分'!A8</f>
        <v/>
      </c>
      <c r="B15" s="3">
        <f>'05_模型算分'!B8</f>
        <v/>
      </c>
      <c r="C15" s="3">
        <f>'05_模型算分'!C8</f>
        <v/>
      </c>
      <c r="D15" s="3">
        <f>'05_模型算分'!D8</f>
        <v/>
      </c>
      <c r="E15" s="3">
        <f>'05_模型算分'!O8</f>
        <v/>
      </c>
      <c r="F15" s="3">
        <f>'05_模型算分'!P8</f>
        <v/>
      </c>
      <c r="G15" s="3">
        <f>'05_模型算分'!Q8</f>
        <v/>
      </c>
    </row>
    <row r="16">
      <c r="A16" s="3">
        <f>'05_模型算分'!A9</f>
        <v/>
      </c>
      <c r="B16" s="3">
        <f>'05_模型算分'!B9</f>
        <v/>
      </c>
      <c r="C16" s="3">
        <f>'05_模型算分'!C9</f>
        <v/>
      </c>
      <c r="D16" s="3">
        <f>'05_模型算分'!D9</f>
        <v/>
      </c>
      <c r="E16" s="3">
        <f>'05_模型算分'!O9</f>
        <v/>
      </c>
      <c r="F16" s="3">
        <f>'05_模型算分'!P9</f>
        <v/>
      </c>
      <c r="G16" s="3">
        <f>'05_模型算分'!Q9</f>
        <v/>
      </c>
    </row>
    <row r="17">
      <c r="A17" s="3">
        <f>'05_模型算分'!A10</f>
        <v/>
      </c>
      <c r="B17" s="3">
        <f>'05_模型算分'!B10</f>
        <v/>
      </c>
      <c r="C17" s="3">
        <f>'05_模型算分'!C10</f>
        <v/>
      </c>
      <c r="D17" s="3">
        <f>'05_模型算分'!D10</f>
        <v/>
      </c>
      <c r="E17" s="3">
        <f>'05_模型算分'!O10</f>
        <v/>
      </c>
      <c r="F17" s="3">
        <f>'05_模型算分'!P10</f>
        <v/>
      </c>
      <c r="G17" s="3">
        <f>'05_模型算分'!Q10</f>
        <v/>
      </c>
    </row>
    <row r="18">
      <c r="A18" s="3">
        <f>'05_模型算分'!A11</f>
        <v/>
      </c>
      <c r="B18" s="3">
        <f>'05_模型算分'!B11</f>
        <v/>
      </c>
      <c r="C18" s="3">
        <f>'05_模型算分'!C11</f>
        <v/>
      </c>
      <c r="D18" s="3">
        <f>'05_模型算分'!D11</f>
        <v/>
      </c>
      <c r="E18" s="3">
        <f>'05_模型算分'!O11</f>
        <v/>
      </c>
      <c r="F18" s="3">
        <f>'05_模型算分'!P11</f>
        <v/>
      </c>
      <c r="G18" s="3">
        <f>'05_模型算分'!Q11</f>
        <v/>
      </c>
    </row>
    <row r="19">
      <c r="A19" s="3">
        <f>'05_模型算分'!A12</f>
        <v/>
      </c>
      <c r="B19" s="3">
        <f>'05_模型算分'!B12</f>
        <v/>
      </c>
      <c r="C19" s="3">
        <f>'05_模型算分'!C12</f>
        <v/>
      </c>
      <c r="D19" s="3">
        <f>'05_模型算分'!D12</f>
        <v/>
      </c>
      <c r="E19" s="3">
        <f>'05_模型算分'!O12</f>
        <v/>
      </c>
      <c r="F19" s="3">
        <f>'05_模型算分'!P12</f>
        <v/>
      </c>
      <c r="G19" s="3">
        <f>'05_模型算分'!Q12</f>
        <v/>
      </c>
    </row>
    <row r="20">
      <c r="A20" s="3">
        <f>'05_模型算分'!A13</f>
        <v/>
      </c>
      <c r="B20" s="3">
        <f>'05_模型算分'!B13</f>
        <v/>
      </c>
      <c r="C20" s="3">
        <f>'05_模型算分'!C13</f>
        <v/>
      </c>
      <c r="D20" s="3">
        <f>'05_模型算分'!D13</f>
        <v/>
      </c>
      <c r="E20" s="3">
        <f>'05_模型算分'!O13</f>
        <v/>
      </c>
      <c r="F20" s="3">
        <f>'05_模型算分'!P13</f>
        <v/>
      </c>
      <c r="G20" s="3">
        <f>'05_模型算分'!Q13</f>
        <v/>
      </c>
    </row>
    <row r="21">
      <c r="A21" s="3">
        <f>'05_模型算分'!A14</f>
        <v/>
      </c>
      <c r="B21" s="3">
        <f>'05_模型算分'!B14</f>
        <v/>
      </c>
      <c r="C21" s="3">
        <f>'05_模型算分'!C14</f>
        <v/>
      </c>
      <c r="D21" s="3">
        <f>'05_模型算分'!D14</f>
        <v/>
      </c>
      <c r="E21" s="3">
        <f>'05_模型算分'!O14</f>
        <v/>
      </c>
      <c r="F21" s="3">
        <f>'05_模型算分'!P14</f>
        <v/>
      </c>
      <c r="G21" s="3">
        <f>'05_模型算分'!Q14</f>
        <v/>
      </c>
    </row>
    <row r="22">
      <c r="A22" s="3">
        <f>'05_模型算分'!A15</f>
        <v/>
      </c>
      <c r="B22" s="3">
        <f>'05_模型算分'!B15</f>
        <v/>
      </c>
      <c r="C22" s="3">
        <f>'05_模型算分'!C15</f>
        <v/>
      </c>
      <c r="D22" s="3">
        <f>'05_模型算分'!D15</f>
        <v/>
      </c>
      <c r="E22" s="3">
        <f>'05_模型算分'!O15</f>
        <v/>
      </c>
      <c r="F22" s="3">
        <f>'05_模型算分'!P15</f>
        <v/>
      </c>
      <c r="G22" s="3">
        <f>'05_模型算分'!Q15</f>
        <v/>
      </c>
    </row>
    <row r="23">
      <c r="A23" s="3">
        <f>'05_模型算分'!A16</f>
        <v/>
      </c>
      <c r="B23" s="3">
        <f>'05_模型算分'!B16</f>
        <v/>
      </c>
      <c r="C23" s="3">
        <f>'05_模型算分'!C16</f>
        <v/>
      </c>
      <c r="D23" s="3">
        <f>'05_模型算分'!D16</f>
        <v/>
      </c>
      <c r="E23" s="3">
        <f>'05_模型算分'!O16</f>
        <v/>
      </c>
      <c r="F23" s="3">
        <f>'05_模型算分'!P16</f>
        <v/>
      </c>
      <c r="G23" s="3">
        <f>'05_模型算分'!Q16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3" customWidth="1" min="3" max="3"/>
    <col width="10" customWidth="1" min="4" max="4"/>
    <col width="11" customWidth="1" min="5" max="5"/>
    <col width="44" customWidth="1" min="6" max="6"/>
  </cols>
  <sheetData>
    <row r="1">
      <c r="A1" s="2" t="inlineStr">
        <is>
          <t>参数ID</t>
        </is>
      </c>
      <c r="B1" s="2" t="inlineStr">
        <is>
          <t>参数名称</t>
        </is>
      </c>
      <c r="C1" s="2" t="inlineStr">
        <is>
          <t>当前值</t>
        </is>
      </c>
      <c r="D1" s="2" t="inlineStr">
        <is>
          <t>单位/类型</t>
        </is>
      </c>
      <c r="E1" s="2" t="inlineStr">
        <is>
          <t>建议范围</t>
        </is>
      </c>
      <c r="F1" s="2" t="inlineStr">
        <is>
          <t>说明</t>
        </is>
      </c>
    </row>
    <row r="2">
      <c r="A2" s="3" t="inlineStr">
        <is>
          <t>w_local_form</t>
        </is>
      </c>
      <c r="B2" s="3" t="inlineStr">
        <is>
          <t>本地评价表权重</t>
        </is>
      </c>
      <c r="C2" s="4" t="n">
        <v>0.25</v>
      </c>
      <c r="D2" s="3" t="inlineStr">
        <is>
          <t>ratio</t>
        </is>
      </c>
      <c r="E2" s="3" t="inlineStr">
        <is>
          <t>0-0.50</t>
        </is>
      </c>
      <c r="F2" s="3" t="inlineStr">
        <is>
          <t>本地 Excel 已填写时参与；空模板时自动再分配给其他证据。</t>
        </is>
      </c>
    </row>
    <row r="3">
      <c r="A3" s="3" t="inlineStr">
        <is>
          <t>w_evidence</t>
        </is>
      </c>
      <c r="B3" s="3" t="inlineStr">
        <is>
          <t>云端/项目证据权重</t>
        </is>
      </c>
      <c r="C3" s="4" t="n">
        <v>0.35</v>
      </c>
      <c r="D3" s="3" t="inlineStr">
        <is>
          <t>ratio</t>
        </is>
      </c>
      <c r="E3" s="3" t="inlineStr">
        <is>
          <t>0.20-0.50</t>
        </is>
      </c>
      <c r="F3" s="3" t="inlineStr">
        <is>
          <t>来自飞书、云盘、会议、Figma metadata 与现有贡献分。</t>
        </is>
      </c>
    </row>
    <row r="4">
      <c r="A4" s="3" t="inlineStr">
        <is>
          <t>w_role</t>
        </is>
      </c>
      <c r="B4" s="3" t="inlineStr">
        <is>
          <t>组织/领域角色权重</t>
        </is>
      </c>
      <c r="C4" s="4" t="n">
        <v>0.15</v>
      </c>
      <c r="D4" s="3" t="inlineStr">
        <is>
          <t>ratio</t>
        </is>
      </c>
      <c r="E4" s="3" t="inlineStr">
        <is>
          <t>0.05-0.25</t>
        </is>
      </c>
      <c r="F4" s="3" t="inlineStr">
        <is>
          <t>体现 owner、domain leader、partner 等角色责任。</t>
        </is>
      </c>
    </row>
    <row r="5">
      <c r="A5" s="3" t="inlineStr">
        <is>
          <t>w_mainline</t>
        </is>
      </c>
      <c r="B5" s="3" t="inlineStr">
        <is>
          <t>主线贡献权重</t>
        </is>
      </c>
      <c r="C5" s="4" t="n">
        <v>0.2</v>
      </c>
      <c r="D5" s="3" t="inlineStr">
        <is>
          <t>ratio</t>
        </is>
      </c>
      <c r="E5" s="3" t="inlineStr">
        <is>
          <t>0.10-0.30</t>
        </is>
      </c>
      <c r="F5" s="3" t="inlineStr">
        <is>
          <t>体现 AI提效、领域驱动、超级合作等主线职责贡献。</t>
        </is>
      </c>
    </row>
    <row r="6">
      <c r="A6" s="3" t="inlineStr">
        <is>
          <t>w_confidence</t>
        </is>
      </c>
      <c r="B6" s="3" t="inlineStr">
        <is>
          <t>证据置信度权重</t>
        </is>
      </c>
      <c r="C6" s="4" t="n">
        <v>0.05</v>
      </c>
      <c r="D6" s="3" t="inlineStr">
        <is>
          <t>ratio</t>
        </is>
      </c>
      <c r="E6" s="3" t="inlineStr">
        <is>
          <t>0.00-0.15</t>
        </is>
      </c>
      <c r="F6" s="3" t="inlineStr">
        <is>
          <t>证据来源覆盖、是否原始数据可复核。</t>
        </is>
      </c>
    </row>
    <row r="7">
      <c r="A7" s="3" t="inlineStr">
        <is>
          <t>evidence_benchmark</t>
        </is>
      </c>
      <c r="B7" s="3" t="inlineStr">
        <is>
          <t>证据分基准</t>
        </is>
      </c>
      <c r="C7" s="4" t="n">
        <v>100</v>
      </c>
      <c r="D7" s="3" t="inlineStr">
        <is>
          <t>score</t>
        </is>
      </c>
      <c r="E7" s="3" t="inlineStr">
        <is>
          <t>80-150</t>
        </is>
      </c>
      <c r="F7" s="3" t="inlineStr">
        <is>
          <t>用于把 evidence_score 归一到 0-100，可随团队整体数据接入调整。</t>
        </is>
      </c>
    </row>
    <row r="8">
      <c r="A8" s="3" t="inlineStr">
        <is>
          <t>project_benchmark</t>
        </is>
      </c>
      <c r="B8" s="3" t="inlineStr">
        <is>
          <t>项目覆盖基准</t>
        </is>
      </c>
      <c r="C8" s="4" t="n">
        <v>6</v>
      </c>
      <c r="D8" s="3" t="inlineStr">
        <is>
          <t>count</t>
        </is>
      </c>
      <c r="E8" s="3" t="inlineStr">
        <is>
          <t>3-8</t>
        </is>
      </c>
      <c r="F8" s="3" t="inlineStr">
        <is>
          <t>项目覆盖数达到该值视为满档。</t>
        </is>
      </c>
    </row>
    <row r="9">
      <c r="A9" s="3" t="inlineStr">
        <is>
          <t>leader_point</t>
        </is>
      </c>
      <c r="B9" s="3" t="inlineStr">
        <is>
          <t>每个领域 leader 角色分</t>
        </is>
      </c>
      <c r="C9" s="4" t="n">
        <v>10</v>
      </c>
      <c r="D9" s="3" t="inlineStr">
        <is>
          <t>points</t>
        </is>
      </c>
      <c r="E9" s="3" t="inlineStr">
        <is>
          <t>6-12</t>
        </is>
      </c>
      <c r="F9" s="3" t="inlineStr">
        <is>
          <t>角色组件使用。</t>
        </is>
      </c>
    </row>
    <row r="10">
      <c r="A10" s="3" t="inlineStr">
        <is>
          <t>partner_point</t>
        </is>
      </c>
      <c r="B10" s="3" t="inlineStr">
        <is>
          <t>每个领域 partner 角色分</t>
        </is>
      </c>
      <c r="C10" s="4" t="n">
        <v>3</v>
      </c>
      <c r="D10" s="3" t="inlineStr">
        <is>
          <t>points</t>
        </is>
      </c>
      <c r="E10" s="3" t="inlineStr">
        <is>
          <t>1-5</t>
        </is>
      </c>
      <c r="F10" s="3" t="inlineStr">
        <is>
          <t>角色组件使用。</t>
        </is>
      </c>
    </row>
    <row r="11">
      <c r="A11" s="3" t="inlineStr">
        <is>
          <t>owner_bonus</t>
        </is>
      </c>
      <c r="B11" s="3" t="inlineStr">
        <is>
          <t>组织 owner 加分</t>
        </is>
      </c>
      <c r="C11" s="4" t="n">
        <v>18</v>
      </c>
      <c r="D11" s="3" t="inlineStr">
        <is>
          <t>points</t>
        </is>
      </c>
      <c r="E11" s="3" t="inlineStr">
        <is>
          <t>10-25</t>
        </is>
      </c>
      <c r="F11" s="3" t="inlineStr">
        <is>
          <t>AI提效/超级合作 owner 的角色责任加成。</t>
        </is>
      </c>
    </row>
    <row r="12">
      <c r="A12" s="3" t="inlineStr">
        <is>
          <t>active_confidence_floor</t>
        </is>
      </c>
      <c r="B12" s="3" t="inlineStr">
        <is>
          <t>活跃成员置信度底线</t>
        </is>
      </c>
      <c r="C12" s="4" t="n">
        <v>45</v>
      </c>
      <c r="D12" s="3" t="inlineStr">
        <is>
          <t>score</t>
        </is>
      </c>
      <c r="E12" s="3" t="inlineStr">
        <is>
          <t>30-60</t>
        </is>
      </c>
      <c r="F12" s="3" t="inlineStr">
        <is>
          <t>有云端证据但本地表未填时的置信度底线。</t>
        </is>
      </c>
    </row>
    <row r="13">
      <c r="A13" s="3" t="inlineStr">
        <is>
          <t>blank_form_penalty</t>
        </is>
      </c>
      <c r="B13" s="3" t="inlineStr">
        <is>
          <t>空本地表惩罚</t>
        </is>
      </c>
      <c r="C13" s="4" t="n">
        <v>0</v>
      </c>
      <c r="D13" s="3" t="inlineStr">
        <is>
          <t>points</t>
        </is>
      </c>
      <c r="E13" s="3" t="inlineStr">
        <is>
          <t>0-10</t>
        </is>
      </c>
      <c r="F13" s="3" t="inlineStr">
        <is>
          <t>默认不惩罚，因为当前本地表大多是模板态。</t>
        </is>
      </c>
    </row>
    <row r="14">
      <c r="A14" s="3" t="inlineStr">
        <is>
          <t>bonus_cap</t>
        </is>
      </c>
      <c r="B14" s="3" t="inlineStr">
        <is>
          <t>加分项建议上限</t>
        </is>
      </c>
      <c r="C14" s="4" t="n">
        <v>5</v>
      </c>
      <c r="D14" s="3" t="inlineStr">
        <is>
          <t>points</t>
        </is>
      </c>
      <c r="E14" s="3" t="inlineStr">
        <is>
          <t>3-8</t>
        </is>
      </c>
      <c r="F14" s="3" t="inlineStr">
        <is>
          <t>用于后续人工评价表复核。</t>
        </is>
      </c>
    </row>
    <row r="15">
      <c r="A15" s="3" t="inlineStr">
        <is>
          <t>weight_sum</t>
        </is>
      </c>
      <c r="B15" s="3" t="inlineStr">
        <is>
          <t>权重合计</t>
        </is>
      </c>
      <c r="C15" s="5">
        <f>SUM(C2:C6)</f>
        <v/>
      </c>
      <c r="D15" s="3" t="inlineStr">
        <is>
          <t>ratio</t>
        </is>
      </c>
      <c r="E15" s="3" t="inlineStr">
        <is>
          <t>应为 1.00</t>
        </is>
      </c>
      <c r="F15" s="3" t="inlineStr">
        <is>
          <t>如果不等于 1，模型仍按有效权重归一，但建议保持 1。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48" customWidth="1" min="3" max="3"/>
    <col width="32" customWidth="1" min="4" max="4"/>
    <col width="22" customWidth="1" min="5" max="5"/>
    <col width="14" customWidth="1" min="6" max="6"/>
    <col width="39" customWidth="1" min="7" max="7"/>
  </cols>
  <sheetData>
    <row r="1">
      <c r="A1" s="2" t="inlineStr">
        <is>
          <t>规则ID</t>
        </is>
      </c>
      <c r="B1" s="2" t="inlineStr">
        <is>
          <t>模块</t>
        </is>
      </c>
      <c r="C1" s="2" t="inlineStr">
        <is>
          <t>分值/权重</t>
        </is>
      </c>
      <c r="D1" s="2" t="inlineStr">
        <is>
          <t>A档条件</t>
        </is>
      </c>
      <c r="E1" s="2" t="inlineStr">
        <is>
          <t>B档条件</t>
        </is>
      </c>
      <c r="F1" s="2" t="inlineStr">
        <is>
          <t>C/D风险</t>
        </is>
      </c>
      <c r="G1" s="2" t="inlineStr">
        <is>
          <t>数据来源</t>
        </is>
      </c>
    </row>
    <row r="2">
      <c r="A2" s="3" t="inlineStr">
        <is>
          <t>mainline_output</t>
        </is>
      </c>
      <c r="B2" s="3" t="inlineStr">
        <is>
          <t>主线产出</t>
        </is>
      </c>
      <c r="C2" s="3" t="inlineStr">
        <is>
          <t>35%</t>
        </is>
      </c>
      <c r="D2" s="3" t="inlineStr">
        <is>
          <t>有关键项目主责或平台级交付，交付物可追溯</t>
        </is>
      </c>
      <c r="E2" s="3" t="inlineStr">
        <is>
          <t>多项目稳定交付，主责边界清楚</t>
        </is>
      </c>
      <c r="F2" s="3" t="inlineStr">
        <is>
          <t>只有零散支援或证据不足</t>
        </is>
      </c>
      <c r="G2" s="3" t="inlineStr">
        <is>
          <t>Figma/云盘/本地源文件/最终交付</t>
        </is>
      </c>
    </row>
    <row r="3">
      <c r="A3" s="3" t="inlineStr">
        <is>
          <t>mainline_role</t>
        </is>
      </c>
      <c r="B3" s="3" t="inlineStr">
        <is>
          <t>主线角色责任</t>
        </is>
      </c>
      <c r="C3" s="3" t="inlineStr">
        <is>
          <t>20%</t>
        </is>
      </c>
      <c r="D3" s="3" t="inlineStr">
        <is>
          <t>owner 或核心 domain leader，能做关键判断</t>
        </is>
      </c>
      <c r="E3" s="3" t="inlineStr">
        <is>
          <t>重要 partner 或二级 owner</t>
        </is>
      </c>
      <c r="F3" s="3" t="inlineStr">
        <is>
          <t>角色缺失或职责未定义</t>
        </is>
      </c>
      <c r="G3" s="3" t="inlineStr">
        <is>
          <t>organization-teams / domain-formation</t>
        </is>
      </c>
    </row>
    <row r="4">
      <c r="A4" s="3" t="inlineStr">
        <is>
          <t>mainline_impact</t>
        </is>
      </c>
      <c r="B4" s="3" t="inlineStr">
        <is>
          <t>主线影响力</t>
        </is>
      </c>
      <c r="C4" s="3" t="inlineStr">
        <is>
          <t>20%</t>
        </is>
      </c>
      <c r="D4" s="3" t="inlineStr">
        <is>
          <t>跨团队复用、提效、方法论或机制沉淀</t>
        </is>
      </c>
      <c r="E4" s="3" t="inlineStr">
        <is>
          <t>项目内复用或局部提效</t>
        </is>
      </c>
      <c r="F4" s="3" t="inlineStr">
        <is>
          <t>只做单点执行，无复用记录</t>
        </is>
      </c>
      <c r="G4" s="3" t="inlineStr">
        <is>
          <t>复盘文档/工具使用记录/会议结论</t>
        </is>
      </c>
    </row>
    <row r="5">
      <c r="A5" s="3" t="inlineStr">
        <is>
          <t>mainline_execution</t>
        </is>
      </c>
      <c r="B5" s="3" t="inlineStr">
        <is>
          <t>主线推进闭环</t>
        </is>
      </c>
      <c r="C5" s="3" t="inlineStr">
        <is>
          <t>15%</t>
        </is>
      </c>
      <c r="D5" s="3" t="inlineStr">
        <is>
          <t>按期闭环，风险预警清楚，阻塞少</t>
        </is>
      </c>
      <c r="E5" s="3" t="inlineStr">
        <is>
          <t>基本按期，问题有上报</t>
        </is>
      </c>
      <c r="F5" s="3" t="inlineStr">
        <is>
          <t>延期或返工多且缺少闭环</t>
        </is>
      </c>
      <c r="G5" s="3" t="inlineStr">
        <is>
          <t>Jira/Gantt/飞书会议/反馈记录</t>
        </is>
      </c>
    </row>
    <row r="6">
      <c r="A6" s="3" t="inlineStr">
        <is>
          <t>mainline_confidence</t>
        </is>
      </c>
      <c r="B6" s="3" t="inlineStr">
        <is>
          <t>证据置信度</t>
        </is>
      </c>
      <c r="C6" s="3" t="inlineStr">
        <is>
          <t>10%</t>
        </is>
      </c>
      <c r="D6" s="3" t="inlineStr">
        <is>
          <t>至少三类高/中置信来源交叉验证</t>
        </is>
      </c>
      <c r="E6" s="3" t="inlineStr">
        <is>
          <t>两类来源可验证</t>
        </is>
      </c>
      <c r="F6" s="3" t="inlineStr">
        <is>
          <t>仅自述或路径不可访问</t>
        </is>
      </c>
      <c r="G6" s="3" t="inlineStr">
        <is>
          <t>raw export / evidence index</t>
        </is>
      </c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inlineStr">
        <is>
          <t>档位</t>
        </is>
      </c>
      <c r="B8" s="3" t="inlineStr">
        <is>
          <t>分数区间</t>
        </is>
      </c>
      <c r="C8" s="3" t="inlineStr">
        <is>
          <t>必要条件</t>
        </is>
      </c>
      <c r="D8" s="3" t="n"/>
      <c r="E8" s="3" t="n"/>
      <c r="F8" s="3" t="n"/>
      <c r="G8" s="3" t="n"/>
    </row>
    <row r="9">
      <c r="A9" s="3" t="inlineStr">
        <is>
          <t>A</t>
        </is>
      </c>
      <c r="B9" s="3" t="inlineStr">
        <is>
          <t>90-100</t>
        </is>
      </c>
      <c r="C9" s="3" t="inlineStr">
        <is>
          <t>至少一条关键项目主责或平台级贡献；证据覆盖 3 类以上来源；无重大质量/协作风险；有团队或跨团队影响。</t>
        </is>
      </c>
      <c r="D9" s="3" t="n"/>
      <c r="E9" s="3" t="n"/>
      <c r="F9" s="3" t="n"/>
      <c r="G9" s="3" t="n"/>
    </row>
    <row r="10">
      <c r="A10" s="3" t="inlineStr">
        <is>
          <t>B+</t>
        </is>
      </c>
      <c r="B10" s="3" t="inlineStr">
        <is>
          <t>85-89</t>
        </is>
      </c>
      <c r="C10" s="3" t="inlineStr">
        <is>
          <t>多项目稳定交付，证据充分，有明确领域优势，但平台级影响或量化效果仍需补证。</t>
        </is>
      </c>
      <c r="D10" s="3" t="n"/>
      <c r="E10" s="3" t="n"/>
      <c r="F10" s="3" t="n"/>
      <c r="G10" s="3" t="n"/>
    </row>
    <row r="11">
      <c r="A11" s="3" t="inlineStr">
        <is>
          <t>B</t>
        </is>
      </c>
      <c r="B11" s="3" t="inlineStr">
        <is>
          <t>75-84</t>
        </is>
      </c>
      <c r="C11" s="3" t="inlineStr">
        <is>
          <t>完成本职和主要项目，协作与质量稳定，创新和影响力有限。</t>
        </is>
      </c>
      <c r="D11" s="3" t="n"/>
      <c r="E11" s="3" t="n"/>
      <c r="F11" s="3" t="n"/>
      <c r="G11" s="3" t="n"/>
    </row>
    <row r="12">
      <c r="A12" s="3" t="inlineStr">
        <is>
          <t>C</t>
        </is>
      </c>
      <c r="B12" s="3" t="inlineStr">
        <is>
          <t>60-74</t>
        </is>
      </c>
      <c r="C12" s="3" t="inlineStr">
        <is>
          <t>有交付但证据不足、延期/返工偏多，或主要为被动执行。</t>
        </is>
      </c>
      <c r="D12" s="3" t="n"/>
      <c r="E12" s="3" t="n"/>
      <c r="F12" s="3" t="n"/>
      <c r="G12" s="3" t="n"/>
    </row>
    <row r="13">
      <c r="A13" s="3" t="inlineStr">
        <is>
          <t>D</t>
        </is>
      </c>
      <c r="B13" s="3" t="inlineStr">
        <is>
          <t>&lt;60</t>
        </is>
      </c>
      <c r="C13" s="3" t="inlineStr">
        <is>
          <t>核心任务未达成、重大质量/协作风险，或证据无法支撑基本交付。</t>
        </is>
      </c>
      <c r="D13" s="3" t="n"/>
      <c r="E13" s="3" t="n"/>
      <c r="F13" s="3" t="n"/>
      <c r="G1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19" customWidth="1" min="1" max="1"/>
    <col width="41" customWidth="1" min="2" max="2"/>
    <col width="10" customWidth="1" min="3" max="3"/>
    <col width="20" customWidth="1" min="4" max="4"/>
  </cols>
  <sheetData>
    <row r="1">
      <c r="A1" s="2" t="inlineStr">
        <is>
          <t>类型</t>
        </is>
      </c>
      <c r="B1" s="2" t="inlineStr">
        <is>
          <t>键</t>
        </is>
      </c>
      <c r="C1" s="2" t="inlineStr">
        <is>
          <t>值</t>
        </is>
      </c>
      <c r="D1" s="2" t="inlineStr">
        <is>
          <t>说明</t>
        </is>
      </c>
    </row>
    <row r="2">
      <c r="A2" s="3" t="inlineStr">
        <is>
          <t>qualitative_load</t>
        </is>
      </c>
      <c r="B2" s="3" t="inlineStr">
        <is>
          <t>critical_overload_risk</t>
        </is>
      </c>
      <c r="C2" s="3" t="n">
        <v>92</v>
      </c>
      <c r="D2" s="3" t="inlineStr">
        <is>
          <t>关键过载，通常代表高责任/高复杂度。</t>
        </is>
      </c>
    </row>
    <row r="3">
      <c r="A3" s="3" t="inlineStr">
        <is>
          <t>qualitative_load</t>
        </is>
      </c>
      <c r="B3" s="3" t="inlineStr">
        <is>
          <t>strategic_overload_risk</t>
        </is>
      </c>
      <c r="C3" s="3" t="n">
        <v>92</v>
      </c>
      <c r="D3" s="3" t="inlineStr">
        <is>
          <t>战略高负载。</t>
        </is>
      </c>
    </row>
    <row r="4">
      <c r="A4" s="3" t="inlineStr">
        <is>
          <t>qualitative_load</t>
        </is>
      </c>
      <c r="B4" s="3" t="inlineStr">
        <is>
          <t>high_overload_risk</t>
        </is>
      </c>
      <c r="C4" s="3" t="n">
        <v>88</v>
      </c>
      <c r="D4" s="3" t="inlineStr">
        <is>
          <t>高过载。</t>
        </is>
      </c>
    </row>
    <row r="5">
      <c r="A5" s="3" t="inlineStr">
        <is>
          <t>qualitative_load</t>
        </is>
      </c>
      <c r="B5" s="3" t="inlineStr">
        <is>
          <t>high_load</t>
        </is>
      </c>
      <c r="C5" s="3" t="n">
        <v>84</v>
      </c>
      <c r="D5" s="3" t="inlineStr">
        <is>
          <t>高覆盖。</t>
        </is>
      </c>
    </row>
    <row r="6">
      <c r="A6" s="3" t="inlineStr">
        <is>
          <t>qualitative_load</t>
        </is>
      </c>
      <c r="B6" s="3" t="inlineStr">
        <is>
          <t>broad_partner_load</t>
        </is>
      </c>
      <c r="C6" s="3" t="n">
        <v>78</v>
      </c>
      <c r="D6" s="3" t="inlineStr">
        <is>
          <t>广覆盖协作者。</t>
        </is>
      </c>
    </row>
    <row r="7">
      <c r="A7" s="3" t="inlineStr">
        <is>
          <t>qualitative_load</t>
        </is>
      </c>
      <c r="B7" s="3" t="inlineStr">
        <is>
          <t>balanced_specialist_load</t>
        </is>
      </c>
      <c r="C7" s="3" t="n">
        <v>80</v>
      </c>
      <c r="D7" s="3" t="inlineStr">
        <is>
          <t>聚焦专家。</t>
        </is>
      </c>
    </row>
    <row r="8">
      <c r="A8" s="3" t="inlineStr">
        <is>
          <t>qualitative_load</t>
        </is>
      </c>
      <c r="B8" s="3" t="inlineStr">
        <is>
          <t>medium_high_load</t>
        </is>
      </c>
      <c r="C8" s="3" t="n">
        <v>76</v>
      </c>
      <c r="D8" s="3" t="inlineStr">
        <is>
          <t>中高负载。</t>
        </is>
      </c>
    </row>
    <row r="9">
      <c r="A9" s="3" t="inlineStr">
        <is>
          <t>qualitative_load</t>
        </is>
      </c>
      <c r="B9" s="3" t="inlineStr">
        <is>
          <t>super_collaboration_support_capacity</t>
        </is>
      </c>
      <c r="C9" s="3" t="n">
        <v>68</v>
      </c>
      <c r="D9" s="3" t="inlineStr">
        <is>
          <t>超级合作支援池。</t>
        </is>
      </c>
    </row>
    <row r="10">
      <c r="A10" s="3" t="inlineStr">
        <is>
          <t>qualitative_load</t>
        </is>
      </c>
      <c r="B10" s="3" t="inlineStr">
        <is>
          <t>onboarding_capacity</t>
        </is>
      </c>
      <c r="C10" s="3" t="n">
        <v>55</v>
      </c>
      <c r="D10" s="3" t="inlineStr">
        <is>
          <t>新人/onboarding。</t>
        </is>
      </c>
    </row>
    <row r="11">
      <c r="A11" s="3" t="inlineStr">
        <is>
          <t>qualitative_load</t>
        </is>
      </c>
      <c r="B11" s="3" t="inlineStr">
        <is>
          <t>super_collaboration_unassigned_capacity</t>
        </is>
      </c>
      <c r="C11" s="3" t="n">
        <v>50</v>
      </c>
      <c r="D11" s="3" t="inlineStr">
        <is>
          <t>未分配容量。</t>
        </is>
      </c>
    </row>
    <row r="12">
      <c r="A12" s="3" t="inlineStr">
        <is>
          <t>organization_role</t>
        </is>
      </c>
      <c r="B12" s="3" t="inlineStr">
        <is>
          <t>owner</t>
        </is>
      </c>
      <c r="C12" s="3" t="n">
        <v>100</v>
      </c>
      <c r="D12" s="3" t="inlineStr">
        <is>
          <t>组织主责。</t>
        </is>
      </c>
    </row>
    <row r="13">
      <c r="A13" s="3" t="inlineStr">
        <is>
          <t>organization_role</t>
        </is>
      </c>
      <c r="B13" s="3" t="inlineStr">
        <is>
          <t>domain_driven_member</t>
        </is>
      </c>
      <c r="C13" s="3" t="n">
        <v>78</v>
      </c>
      <c r="D13" s="3" t="inlineStr">
        <is>
          <t>领域驱动成员。</t>
        </is>
      </c>
    </row>
    <row r="14">
      <c r="A14" s="3" t="inlineStr">
        <is>
          <t>organization_role</t>
        </is>
      </c>
      <c r="B14" s="3" t="inlineStr">
        <is>
          <t>super_collaboration_member</t>
        </is>
      </c>
      <c r="C14" s="3" t="n">
        <v>70</v>
      </c>
      <c r="D14" s="3" t="inlineStr">
        <is>
          <t>超级合作成员。</t>
        </is>
      </c>
    </row>
    <row r="15">
      <c r="A15" s="3" t="inlineStr">
        <is>
          <t>organization_role</t>
        </is>
      </c>
      <c r="B15" s="3" t="inlineStr">
        <is>
          <t>transition</t>
        </is>
      </c>
      <c r="C15" s="3" t="n">
        <v>0</v>
      </c>
      <c r="D15" s="3" t="inlineStr">
        <is>
          <t>过渡/排除。</t>
        </is>
      </c>
    </row>
    <row r="16">
      <c r="A16" s="3" t="inlineStr">
        <is>
          <t>local_form_status</t>
        </is>
      </c>
      <c r="B16" s="3" t="inlineStr">
        <is>
          <t>filled</t>
        </is>
      </c>
      <c r="C16" s="3" t="n">
        <v>100</v>
      </c>
      <c r="D16" s="3" t="inlineStr">
        <is>
          <t>本地评价表已填写。</t>
        </is>
      </c>
    </row>
    <row r="17">
      <c r="A17" s="3" t="inlineStr">
        <is>
          <t>local_form_status</t>
        </is>
      </c>
      <c r="B17" s="3" t="inlineStr">
        <is>
          <t>template_blank</t>
        </is>
      </c>
      <c r="C17" s="3" t="n">
        <v>45</v>
      </c>
      <c r="D17" s="3" t="inlineStr">
        <is>
          <t>本地表存在但为空模板。</t>
        </is>
      </c>
    </row>
    <row r="18">
      <c r="A18" s="3" t="inlineStr">
        <is>
          <t>local_form_status</t>
        </is>
      </c>
      <c r="B18" s="3" t="inlineStr">
        <is>
          <t>missing</t>
        </is>
      </c>
      <c r="C18" s="3" t="n">
        <v>30</v>
      </c>
      <c r="D18" s="3" t="inlineStr">
        <is>
          <t>未发现本地表。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10" customWidth="1" min="4" max="4"/>
    <col width="28" customWidth="1" min="5" max="5"/>
    <col width="41" customWidth="1" min="6" max="6"/>
    <col width="10" customWidth="1" min="7" max="7"/>
    <col width="11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70" customWidth="1" min="14" max="14"/>
    <col width="70" customWidth="1" min="15" max="15"/>
    <col width="1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2" t="inlineStr">
        <is>
          <t>姓名</t>
        </is>
      </c>
      <c r="B1" s="2" t="inlineStr">
        <is>
          <t>agent_id</t>
        </is>
      </c>
      <c r="C1" s="2" t="inlineStr">
        <is>
          <t>分析状态</t>
        </is>
      </c>
      <c r="D1" s="2" t="inlineStr">
        <is>
          <t>组织团队</t>
        </is>
      </c>
      <c r="E1" s="2" t="inlineStr">
        <is>
          <t>组织角色</t>
        </is>
      </c>
      <c r="F1" s="2" t="inlineStr">
        <is>
          <t>负载标签</t>
        </is>
      </c>
      <c r="G1" s="2" t="inlineStr">
        <is>
          <t>历史项目数</t>
        </is>
      </c>
      <c r="H1" s="2" t="inlineStr">
        <is>
          <t>领域Leader数</t>
        </is>
      </c>
      <c r="I1" s="2" t="inlineStr">
        <is>
          <t>领域Partner数</t>
        </is>
      </c>
      <c r="J1" s="2" t="inlineStr">
        <is>
          <t>可见证据分</t>
        </is>
      </c>
      <c r="K1" s="2" t="inlineStr">
        <is>
          <t>可见项目数</t>
        </is>
      </c>
      <c r="L1" s="2" t="inlineStr">
        <is>
          <t>手填项目数</t>
        </is>
      </c>
      <c r="M1" s="2" t="inlineStr">
        <is>
          <t>项目差值</t>
        </is>
      </c>
      <c r="N1" s="2" t="inlineStr">
        <is>
          <t>Top项目</t>
        </is>
      </c>
      <c r="O1" s="2" t="inlineStr">
        <is>
          <t>本地文件</t>
        </is>
      </c>
      <c r="P1" s="2" t="inlineStr">
        <is>
          <t>本地表状态</t>
        </is>
      </c>
      <c r="Q1" s="2" t="inlineStr">
        <is>
          <t>已填子项数</t>
        </is>
      </c>
      <c r="R1" s="2" t="inlineStr">
        <is>
          <t>本地基础分</t>
        </is>
      </c>
      <c r="S1" s="2" t="inlineStr">
        <is>
          <t>本地加分</t>
        </is>
      </c>
      <c r="T1" s="2" t="inlineStr">
        <is>
          <t>本地扣分</t>
        </is>
      </c>
      <c r="U1" s="2" t="inlineStr">
        <is>
          <t>本地最终分</t>
        </is>
      </c>
      <c r="V1" s="2" t="inlineStr">
        <is>
          <t>本地档位</t>
        </is>
      </c>
    </row>
    <row r="2">
      <c r="A2" s="3" t="inlineStr">
        <is>
          <t>余宗历</t>
        </is>
      </c>
      <c r="B2" s="3" t="inlineStr">
        <is>
          <t>subagent-yu-zongli</t>
        </is>
      </c>
      <c r="C2" s="3" t="inlineStr">
        <is>
          <t>active</t>
        </is>
      </c>
      <c r="D2" s="3" t="inlineStr">
        <is>
          <t>领域驱动</t>
        </is>
      </c>
      <c r="E2" s="3" t="inlineStr">
        <is>
          <t>domain_driven_member</t>
        </is>
      </c>
      <c r="F2" s="3" t="inlineStr">
        <is>
          <t>broad_partner_load</t>
        </is>
      </c>
      <c r="G2" s="3" t="n">
        <v>1</v>
      </c>
      <c r="H2" s="3" t="n">
        <v>0</v>
      </c>
      <c r="I2" s="3" t="n">
        <v>12</v>
      </c>
      <c r="J2" s="3" t="n">
        <v>13</v>
      </c>
      <c r="K2" s="3" t="n">
        <v>2</v>
      </c>
      <c r="L2" s="3" t="n">
        <v>1</v>
      </c>
      <c r="M2" s="3" t="n">
        <v>1</v>
      </c>
      <c r="N2" s="3" t="inlineStr">
        <is>
          <t>奔驰HMI:8.0; Figma / 创意研究画板:5.0</t>
        </is>
      </c>
      <c r="O2" s="3" t="inlineStr">
        <is>
          <t>/Users/frankyang/my_work/My_Team/2025 Mid-year review/xlsx/余宗历/2026H1半年度评价表_余宗历.xlsx</t>
        </is>
      </c>
      <c r="P2" s="3" t="inlineStr">
        <is>
          <t>template_blank</t>
        </is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inlineStr">
        <is>
          <t>A/B/C/D</t>
        </is>
      </c>
    </row>
    <row r="3">
      <c r="A3" s="3" t="inlineStr">
        <is>
          <t>刘锦峰</t>
        </is>
      </c>
      <c r="B3" s="3" t="inlineStr">
        <is>
          <t>subagent-liu-jinfeng</t>
        </is>
      </c>
      <c r="C3" s="3" t="inlineStr">
        <is>
          <t>active</t>
        </is>
      </c>
      <c r="D3" s="3" t="inlineStr">
        <is>
          <t>超级合作</t>
        </is>
      </c>
      <c r="E3" s="3" t="inlineStr">
        <is>
          <t>super_collaboration_member</t>
        </is>
      </c>
      <c r="F3" s="3" t="inlineStr">
        <is>
          <t>super_collaboration_support_capacity</t>
        </is>
      </c>
      <c r="G3" s="3" t="n">
        <v>2</v>
      </c>
      <c r="H3" s="3" t="n">
        <v>0</v>
      </c>
      <c r="I3" s="3" t="n">
        <v>0</v>
      </c>
      <c r="J3" s="3" t="n">
        <v>4</v>
      </c>
      <c r="K3" s="3" t="n">
        <v>2</v>
      </c>
      <c r="L3" s="3" t="n">
        <v>2</v>
      </c>
      <c r="M3" s="3" t="n">
        <v>0</v>
      </c>
      <c r="N3" s="3" t="inlineStr">
        <is>
          <t>红旗8397:2.0; 东风8397:2.0</t>
        </is>
      </c>
      <c r="O3" s="3" t="inlineStr">
        <is>
          <t>/Users/frankyang/my_work/My_Team/2025 Mid-year review/xlsx/刘锦峰/2026H1半年度评价表_刘锦峰.xlsx</t>
        </is>
      </c>
      <c r="P3" s="3" t="inlineStr">
        <is>
          <t>template_blank</t>
        </is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inlineStr">
        <is>
          <t>A/B/C/D</t>
        </is>
      </c>
    </row>
    <row r="4">
      <c r="A4" s="3" t="inlineStr">
        <is>
          <t>孙若一</t>
        </is>
      </c>
      <c r="B4" s="3" t="inlineStr">
        <is>
          <t>subagent-sun-ruoyi</t>
        </is>
      </c>
      <c r="C4" s="3" t="inlineStr">
        <is>
          <t>active</t>
        </is>
      </c>
      <c r="D4" s="3" t="inlineStr">
        <is>
          <t>超级合作</t>
        </is>
      </c>
      <c r="E4" s="3" t="inlineStr">
        <is>
          <t>super_collaboration_member</t>
        </is>
      </c>
      <c r="F4" s="3" t="inlineStr">
        <is>
          <t>super_collaboration_support_capacity</t>
        </is>
      </c>
      <c r="G4" s="3" t="n">
        <v>5</v>
      </c>
      <c r="H4" s="3" t="n">
        <v>0</v>
      </c>
      <c r="I4" s="3" t="n">
        <v>0</v>
      </c>
      <c r="J4" s="3" t="n">
        <v>10</v>
      </c>
      <c r="K4" s="3" t="n">
        <v>4</v>
      </c>
      <c r="L4" s="3" t="n">
        <v>5</v>
      </c>
      <c r="M4" s="3" t="n">
        <v>-1</v>
      </c>
      <c r="N4" s="3" t="inlineStr">
        <is>
          <t>AIOS / AI Workflow / AI Worker:3.0; Figma / 创意研究画板:3.0; 理想游戏上车:2.0; 东风8397:2.0</t>
        </is>
      </c>
      <c r="O4" s="3" t="inlineStr">
        <is>
          <t>/Users/frankyang/my_work/My_Team/2025 Mid-year review/xlsx/孙若一/2026H1半年度评价表_孙若一.xlsx</t>
        </is>
      </c>
      <c r="P4" s="3" t="inlineStr">
        <is>
          <t>template_blank</t>
        </is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inlineStr">
        <is>
          <t>A/B/C/D</t>
        </is>
      </c>
    </row>
    <row r="5">
      <c r="A5" s="3" t="inlineStr">
        <is>
          <t>张云豪</t>
        </is>
      </c>
      <c r="B5" s="3" t="inlineStr">
        <is>
          <t>subagent-zhang-yunhao</t>
        </is>
      </c>
      <c r="C5" s="3" t="inlineStr">
        <is>
          <t>active</t>
        </is>
      </c>
      <c r="D5" s="3" t="inlineStr">
        <is>
          <t>领域驱动</t>
        </is>
      </c>
      <c r="E5" s="3" t="inlineStr">
        <is>
          <t>domain_driven_member</t>
        </is>
      </c>
      <c r="F5" s="3" t="inlineStr">
        <is>
          <t>high_load</t>
        </is>
      </c>
      <c r="G5" s="3" t="n">
        <v>3</v>
      </c>
      <c r="H5" s="3" t="n">
        <v>3</v>
      </c>
      <c r="I5" s="3" t="n">
        <v>9</v>
      </c>
      <c r="J5" s="3" t="n">
        <v>18</v>
      </c>
      <c r="K5" s="3" t="n">
        <v>6</v>
      </c>
      <c r="L5" s="3" t="n">
        <v>3</v>
      </c>
      <c r="M5" s="3" t="n">
        <v>3</v>
      </c>
      <c r="N5" s="3" t="inlineStr">
        <is>
          <t>红旗8397:5.0; 奔腾E541 / 奔腾实验室:3.0; 2026车展DEMO:3.0; AIOS / AI Workflow / AI Worker:3.0; 东风8397:2.0</t>
        </is>
      </c>
      <c r="O5" s="3" t="inlineStr">
        <is>
          <t>/Users/frankyang/my_work/My_Team/2025 Mid-year review/xlsx/张云豪/2026H1半年度评价表_张云豪.xlsx</t>
        </is>
      </c>
      <c r="P5" s="3" t="inlineStr">
        <is>
          <t>template_blank</t>
        </is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inlineStr">
        <is>
          <t>A/B/C/D</t>
        </is>
      </c>
    </row>
    <row r="6">
      <c r="A6" s="3" t="inlineStr">
        <is>
          <t>张劲</t>
        </is>
      </c>
      <c r="B6" s="3" t="inlineStr">
        <is>
          <t>subagent-zhang-jin</t>
        </is>
      </c>
      <c r="C6" s="3" t="inlineStr">
        <is>
          <t>active</t>
        </is>
      </c>
      <c r="D6" s="3" t="inlineStr">
        <is>
          <t>领域驱动</t>
        </is>
      </c>
      <c r="E6" s="3" t="inlineStr">
        <is>
          <t>domain_driven_member</t>
        </is>
      </c>
      <c r="F6" s="3" t="inlineStr">
        <is>
          <t>critical_overload_risk</t>
        </is>
      </c>
      <c r="G6" s="3" t="n">
        <v>3</v>
      </c>
      <c r="H6" s="3" t="n">
        <v>4</v>
      </c>
      <c r="I6" s="3" t="n">
        <v>16</v>
      </c>
      <c r="J6" s="3" t="n">
        <v>34.5</v>
      </c>
      <c r="K6" s="3" t="n">
        <v>4</v>
      </c>
      <c r="L6" s="3" t="n">
        <v>3</v>
      </c>
      <c r="M6" s="3" t="n">
        <v>1</v>
      </c>
      <c r="N6" s="3" t="inlineStr">
        <is>
          <t>红旗8397:19.0; 设计系统 / 动效平台化:6.5; AIOS / AI Workflow / AI Worker:4.5; Figma / 创意研究画板:4.5</t>
        </is>
      </c>
      <c r="O6" s="3" t="inlineStr">
        <is>
          <t>/Users/frankyang/my_work/My_Team/2025 Mid-year review/xlsx/张劲/2026H1半年度评价表_张劲.xlsx</t>
        </is>
      </c>
      <c r="P6" s="3" t="inlineStr">
        <is>
          <t>template_blank</t>
        </is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inlineStr">
        <is>
          <t>A/B/C/D</t>
        </is>
      </c>
    </row>
    <row r="7">
      <c r="A7" s="3" t="inlineStr">
        <is>
          <t>张婕</t>
        </is>
      </c>
      <c r="B7" s="3" t="inlineStr"/>
      <c r="C7" s="3" t="inlineStr">
        <is>
          <t>excluded_transition</t>
        </is>
      </c>
      <c r="D7" s="3" t="inlineStr"/>
      <c r="E7" s="3" t="inlineStr"/>
      <c r="F7" s="3" t="inlineStr"/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inlineStr"/>
      <c r="O7" s="3" t="inlineStr">
        <is>
          <t>/Users/frankyang/my_work/My_Team/2025 Mid-year review/xlsx/张婕/2026H1半年度评价表_张婕.xlsx</t>
        </is>
      </c>
      <c r="P7" s="3" t="inlineStr">
        <is>
          <t>template_blank</t>
        </is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inlineStr">
        <is>
          <t>A/B/C/D</t>
        </is>
      </c>
    </row>
    <row r="8">
      <c r="A8" s="3" t="inlineStr">
        <is>
          <t>张帆</t>
        </is>
      </c>
      <c r="B8" s="3" t="inlineStr">
        <is>
          <t>subagent-zhang-fan</t>
        </is>
      </c>
      <c r="C8" s="3" t="inlineStr">
        <is>
          <t>active</t>
        </is>
      </c>
      <c r="D8" s="3" t="inlineStr">
        <is>
          <t>领域驱动</t>
        </is>
      </c>
      <c r="E8" s="3" t="inlineStr">
        <is>
          <t>domain_driven_member</t>
        </is>
      </c>
      <c r="F8" s="3" t="inlineStr">
        <is>
          <t>medium_high_load</t>
        </is>
      </c>
      <c r="G8" s="3" t="n">
        <v>3</v>
      </c>
      <c r="H8" s="3" t="n">
        <v>1</v>
      </c>
      <c r="I8" s="3" t="n">
        <v>9</v>
      </c>
      <c r="J8" s="3" t="n">
        <v>14</v>
      </c>
      <c r="K8" s="3" t="n">
        <v>2</v>
      </c>
      <c r="L8" s="3" t="n">
        <v>3</v>
      </c>
      <c r="M8" s="3" t="n">
        <v>-1</v>
      </c>
      <c r="N8" s="3" t="inlineStr">
        <is>
          <t>AIOS / AI Workflow / AI Worker:12.0; 红旗8397:2.0</t>
        </is>
      </c>
      <c r="O8" s="3" t="inlineStr">
        <is>
          <t>/Users/frankyang/my_work/My_Team/2025 Mid-year review/xlsx/张帆/2026H1半年度评价表_张帆.xlsx</t>
        </is>
      </c>
      <c r="P8" s="3" t="inlineStr">
        <is>
          <t>template_blank</t>
        </is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inlineStr">
        <is>
          <t>A/B/C/D</t>
        </is>
      </c>
    </row>
    <row r="9">
      <c r="A9" s="3" t="inlineStr">
        <is>
          <t>李昊星</t>
        </is>
      </c>
      <c r="B9" s="3" t="inlineStr">
        <is>
          <t>subagent-li-haoxing</t>
        </is>
      </c>
      <c r="C9" s="3" t="inlineStr">
        <is>
          <t>active</t>
        </is>
      </c>
      <c r="D9" s="3" t="inlineStr">
        <is>
          <t>超级合作</t>
        </is>
      </c>
      <c r="E9" s="3" t="inlineStr">
        <is>
          <t>super_collaboration_member</t>
        </is>
      </c>
      <c r="F9" s="3" t="inlineStr">
        <is>
          <t>super_collaboration_unassigned_capacity</t>
        </is>
      </c>
      <c r="G9" s="3" t="n">
        <v>0</v>
      </c>
      <c r="H9" s="3" t="n">
        <v>0</v>
      </c>
      <c r="I9" s="3" t="n">
        <v>0</v>
      </c>
      <c r="J9" s="3" t="n">
        <v>3</v>
      </c>
      <c r="K9" s="3" t="n">
        <v>1</v>
      </c>
      <c r="L9" s="3" t="n">
        <v>0</v>
      </c>
      <c r="M9" s="3" t="n">
        <v>1</v>
      </c>
      <c r="N9" s="3" t="inlineStr">
        <is>
          <t>AIOS / AI Workflow / AI Worker:3.0</t>
        </is>
      </c>
      <c r="O9" s="3" t="inlineStr">
        <is>
          <t>/Users/frankyang/my_work/My_Team/2025 Mid-year review/xlsx/李昊星/2026H1半年度评价表_李昊星.xlsx</t>
        </is>
      </c>
      <c r="P9" s="3" t="inlineStr">
        <is>
          <t>template_blank</t>
        </is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inlineStr">
        <is>
          <t>A/B/C/D</t>
        </is>
      </c>
    </row>
    <row r="10">
      <c r="A10" s="3" t="inlineStr">
        <is>
          <t>李玮</t>
        </is>
      </c>
      <c r="B10" s="3" t="inlineStr">
        <is>
          <t>subagent-li-wei</t>
        </is>
      </c>
      <c r="C10" s="3" t="inlineStr">
        <is>
          <t>active</t>
        </is>
      </c>
      <c r="D10" s="3" t="inlineStr">
        <is>
          <t>领域驱动</t>
        </is>
      </c>
      <c r="E10" s="3" t="inlineStr">
        <is>
          <t>domain_driven_member</t>
        </is>
      </c>
      <c r="F10" s="3" t="inlineStr">
        <is>
          <t>high_overload_risk</t>
        </is>
      </c>
      <c r="G10" s="3" t="n">
        <v>3</v>
      </c>
      <c r="H10" s="3" t="n">
        <v>6</v>
      </c>
      <c r="I10" s="3" t="n">
        <v>11</v>
      </c>
      <c r="J10" s="3" t="n">
        <v>76</v>
      </c>
      <c r="K10" s="3" t="n">
        <v>6</v>
      </c>
      <c r="L10" s="3" t="n">
        <v>3</v>
      </c>
      <c r="M10" s="3" t="n">
        <v>3</v>
      </c>
      <c r="N10" s="3" t="inlineStr">
        <is>
          <t>2026车展DEMO:18.0; 红旗8397:16.0; 设计系统 / 动效平台化:12.0; AIOS / AI Workflow / AI Worker:12.0; 理想游戏上车:9.0</t>
        </is>
      </c>
      <c r="O10" s="3" t="inlineStr">
        <is>
          <t>/Users/frankyang/my_work/My_Team/2025 Mid-year review/xlsx/李玮/2026H1半年度评价表_李玮.xlsx</t>
        </is>
      </c>
      <c r="P10" s="3" t="inlineStr">
        <is>
          <t>template_blank</t>
        </is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inlineStr">
        <is>
          <t>A/B/C/D</t>
        </is>
      </c>
    </row>
    <row r="11">
      <c r="A11" s="3" t="inlineStr">
        <is>
          <t>李苏南</t>
        </is>
      </c>
      <c r="B11" s="3" t="inlineStr">
        <is>
          <t>subagent-li-sunan</t>
        </is>
      </c>
      <c r="C11" s="3" t="inlineStr">
        <is>
          <t>active</t>
        </is>
      </c>
      <c r="D11" s="3" t="inlineStr">
        <is>
          <t>超级合作</t>
        </is>
      </c>
      <c r="E11" s="3" t="inlineStr">
        <is>
          <t>owner</t>
        </is>
      </c>
      <c r="F11" s="3" t="inlineStr">
        <is>
          <t>critical_overload_risk</t>
        </is>
      </c>
      <c r="G11" s="3" t="n">
        <v>5</v>
      </c>
      <c r="H11" s="3" t="n">
        <v>6</v>
      </c>
      <c r="I11" s="3" t="n">
        <v>14</v>
      </c>
      <c r="J11" s="3" t="n">
        <v>58</v>
      </c>
      <c r="K11" s="3" t="n">
        <v>6</v>
      </c>
      <c r="L11" s="3" t="n">
        <v>5</v>
      </c>
      <c r="M11" s="3" t="n">
        <v>1</v>
      </c>
      <c r="N11" s="3" t="inlineStr">
        <is>
          <t>东风8397:31.5; 东风4SR / 8295 4SR:11.0; 奔腾E541 / 奔腾实验室:7.0; Figma / 创意研究画板:4.0; 设计系统 / 动效平台化:3.0</t>
        </is>
      </c>
      <c r="O11" s="3" t="inlineStr">
        <is>
          <t>/Users/frankyang/my_work/My_Team/2025 Mid-year review/xlsx/李苏南/2026H1半年度评价表_李苏南.xlsx</t>
        </is>
      </c>
      <c r="P11" s="3" t="inlineStr">
        <is>
          <t>template_blank</t>
        </is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inlineStr">
        <is>
          <t>A/B/C/D</t>
        </is>
      </c>
    </row>
    <row r="12">
      <c r="A12" s="3" t="inlineStr">
        <is>
          <t>李颖</t>
        </is>
      </c>
      <c r="B12" s="3" t="inlineStr">
        <is>
          <t>subagent-li-ying</t>
        </is>
      </c>
      <c r="C12" s="3" t="inlineStr">
        <is>
          <t>active</t>
        </is>
      </c>
      <c r="D12" s="3" t="inlineStr">
        <is>
          <t>AI提效</t>
        </is>
      </c>
      <c r="E12" s="3" t="inlineStr">
        <is>
          <t>owner</t>
        </is>
      </c>
      <c r="F12" s="3" t="inlineStr">
        <is>
          <t>strategic_overload_risk</t>
        </is>
      </c>
      <c r="G12" s="3" t="n">
        <v>4</v>
      </c>
      <c r="H12" s="3" t="n">
        <v>2</v>
      </c>
      <c r="I12" s="3" t="n">
        <v>10</v>
      </c>
      <c r="J12" s="3" t="n">
        <v>101.5</v>
      </c>
      <c r="K12" s="3" t="n">
        <v>5</v>
      </c>
      <c r="L12" s="3" t="n">
        <v>4</v>
      </c>
      <c r="M12" s="3" t="n">
        <v>1</v>
      </c>
      <c r="N12" s="3" t="inlineStr">
        <is>
          <t>AIOS / AI Workflow / AI Worker:46.5; 2026车展DEMO:24.5; Figma / 创意研究画板:16.5; 红旗8397:8.0; 设计系统 / 动效平台化:6.0</t>
        </is>
      </c>
      <c r="O12" s="3" t="inlineStr">
        <is>
          <t>/Users/frankyang/my_work/My_Team/2025 Mid-year review/xlsx/李颖/2026H1半年度评价表_李颖.xlsx</t>
        </is>
      </c>
      <c r="P12" s="3" t="inlineStr">
        <is>
          <t>template_blank</t>
        </is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inlineStr">
        <is>
          <t>A/B/C/D</t>
        </is>
      </c>
    </row>
    <row r="13">
      <c r="A13" s="3" t="inlineStr">
        <is>
          <t>杜馨柯</t>
        </is>
      </c>
      <c r="B13" s="3" t="inlineStr">
        <is>
          <t>subagent-du-xinke</t>
        </is>
      </c>
      <c r="C13" s="3" t="inlineStr">
        <is>
          <t>active</t>
        </is>
      </c>
      <c r="D13" s="3" t="inlineStr">
        <is>
          <t>超级合作</t>
        </is>
      </c>
      <c r="E13" s="3" t="inlineStr">
        <is>
          <t>super_collaboration_member</t>
        </is>
      </c>
      <c r="F13" s="3" t="inlineStr">
        <is>
          <t>onboarding_capacity</t>
        </is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inlineStr"/>
      <c r="O13" s="3" t="inlineStr">
        <is>
          <t>/Users/frankyang/my_work/My_Team/2025 Mid-year review/xlsx/杜馨柯/2026H1半年度评价表_杜馨柯.xlsx</t>
        </is>
      </c>
      <c r="P13" s="3" t="inlineStr">
        <is>
          <t>template_blank</t>
        </is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inlineStr">
        <is>
          <t>A/B/C/D</t>
        </is>
      </c>
    </row>
    <row r="14">
      <c r="A14" s="3" t="inlineStr">
        <is>
          <t>陈宁子</t>
        </is>
      </c>
      <c r="B14" s="3" t="inlineStr">
        <is>
          <t>subagent-chen-ningzi</t>
        </is>
      </c>
      <c r="C14" s="3" t="inlineStr">
        <is>
          <t>active</t>
        </is>
      </c>
      <c r="D14" s="3" t="inlineStr">
        <is>
          <t>超级合作</t>
        </is>
      </c>
      <c r="E14" s="3" t="inlineStr">
        <is>
          <t>super_collaboration_member</t>
        </is>
      </c>
      <c r="F14" s="3" t="inlineStr">
        <is>
          <t>onboarding_capacity</t>
        </is>
      </c>
      <c r="G14" s="3" t="n">
        <v>0</v>
      </c>
      <c r="H14" s="3" t="n">
        <v>0</v>
      </c>
      <c r="I14" s="3" t="n">
        <v>0</v>
      </c>
      <c r="J14" s="3" t="n">
        <v>3</v>
      </c>
      <c r="K14" s="3" t="n">
        <v>1</v>
      </c>
      <c r="L14" s="3" t="n">
        <v>0</v>
      </c>
      <c r="M14" s="3" t="n">
        <v>1</v>
      </c>
      <c r="N14" s="3" t="inlineStr">
        <is>
          <t>AIOS / AI Workflow / AI Worker:3.0</t>
        </is>
      </c>
      <c r="O14" s="3" t="inlineStr">
        <is>
          <t>/Users/frankyang/my_work/My_Team/2025 Mid-year review/xlsx/陈宁子/2026H1半年度评价表_陈宁子.xlsx</t>
        </is>
      </c>
      <c r="P14" s="3" t="inlineStr">
        <is>
          <t>template_blank</t>
        </is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inlineStr">
        <is>
          <t>A/B/C/D</t>
        </is>
      </c>
    </row>
    <row r="15">
      <c r="A15" s="3" t="inlineStr">
        <is>
          <t>韩康佳</t>
        </is>
      </c>
      <c r="B15" s="3" t="inlineStr">
        <is>
          <t>subagent-han-kangjia</t>
        </is>
      </c>
      <c r="C15" s="3" t="inlineStr">
        <is>
          <t>active</t>
        </is>
      </c>
      <c r="D15" s="3" t="inlineStr">
        <is>
          <t>领域驱动</t>
        </is>
      </c>
      <c r="E15" s="3" t="inlineStr">
        <is>
          <t>domain_driven_member</t>
        </is>
      </c>
      <c r="F15" s="3" t="inlineStr">
        <is>
          <t>balanced_specialist_load</t>
        </is>
      </c>
      <c r="G15" s="3" t="n">
        <v>2</v>
      </c>
      <c r="H15" s="3" t="n">
        <v>2</v>
      </c>
      <c r="I15" s="3" t="n">
        <v>8</v>
      </c>
      <c r="J15" s="3" t="n">
        <v>55.5</v>
      </c>
      <c r="K15" s="3" t="n">
        <v>6</v>
      </c>
      <c r="L15" s="3" t="n">
        <v>2</v>
      </c>
      <c r="M15" s="3" t="n">
        <v>4</v>
      </c>
      <c r="N15" s="3" t="inlineStr">
        <is>
          <t>红旗8397:17.0; Figma / 创意研究画板:13.5; 东风8397:9.0; 广汽音频可视化:7.0; 设计系统 / 动效平台化:6.0</t>
        </is>
      </c>
      <c r="O15" s="3" t="inlineStr">
        <is>
          <t>/Users/frankyang/my_work/My_Team/2025 Mid-year review/xlsx/韩康佳/2026H1半年度评价表_韩康佳.xlsx</t>
        </is>
      </c>
      <c r="P15" s="3" t="inlineStr">
        <is>
          <t>template_blank</t>
        </is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inlineStr">
        <is>
          <t>A/B/C/D</t>
        </is>
      </c>
    </row>
    <row r="16">
      <c r="A16" s="3" t="inlineStr">
        <is>
          <t>顾颖芝</t>
        </is>
      </c>
      <c r="B16" s="3" t="inlineStr">
        <is>
          <t>subagent-gu-yingzhi</t>
        </is>
      </c>
      <c r="C16" s="3" t="inlineStr">
        <is>
          <t>active</t>
        </is>
      </c>
      <c r="D16" s="3" t="inlineStr">
        <is>
          <t>领域驱动</t>
        </is>
      </c>
      <c r="E16" s="3" t="inlineStr">
        <is>
          <t>domain_driven_member</t>
        </is>
      </c>
      <c r="F16" s="3" t="inlineStr">
        <is>
          <t>high_load</t>
        </is>
      </c>
      <c r="G16" s="3" t="n">
        <v>3</v>
      </c>
      <c r="H16" s="3" t="n">
        <v>4</v>
      </c>
      <c r="I16" s="3" t="n">
        <v>8</v>
      </c>
      <c r="J16" s="3" t="n">
        <v>13</v>
      </c>
      <c r="K16" s="3" t="n">
        <v>4</v>
      </c>
      <c r="L16" s="3" t="n">
        <v>3</v>
      </c>
      <c r="M16" s="3" t="n">
        <v>1</v>
      </c>
      <c r="N16" s="3" t="inlineStr">
        <is>
          <t>红旗8397:5.0; AIOS / AI Workflow / AI Worker:3.0; 设计系统 / 动效平台化:3.0; 2026车展DEMO:2.0</t>
        </is>
      </c>
      <c r="O16" s="3" t="inlineStr">
        <is>
          <t>/Users/frankyang/my_work/My_Team/2025 Mid-year review/xlsx/顾颖芝/2026H1半年度评价表_顾颖芝.xlsx</t>
        </is>
      </c>
      <c r="P16" s="3" t="inlineStr">
        <is>
          <t>template_blank</t>
        </is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inlineStr">
        <is>
          <t>A/B/C/D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58" customWidth="1" min="5" max="5"/>
    <col width="58" customWidth="1" min="6" max="6"/>
    <col width="58" customWidth="1" min="7" max="7"/>
    <col width="58" customWidth="1" min="8" max="8"/>
    <col width="58" customWidth="1" min="9" max="9"/>
    <col width="50" customWidth="1" min="10" max="10"/>
    <col width="48" customWidth="1" min="11" max="11"/>
    <col width="44" customWidth="1" min="12" max="12"/>
    <col width="48" customWidth="1" min="13" max="13"/>
    <col width="50" customWidth="1" min="14" max="14"/>
    <col width="58" customWidth="1" min="15" max="15"/>
    <col width="58" customWidth="1" min="16" max="16"/>
    <col width="58" customWidth="1" min="17" max="17"/>
    <col width="58" customWidth="1" min="18" max="18"/>
  </cols>
  <sheetData>
    <row r="1">
      <c r="A1" s="2" t="inlineStr">
        <is>
          <t>姓名</t>
        </is>
      </c>
      <c r="B1" s="2" t="inlineStr">
        <is>
          <t>分析状态</t>
        </is>
      </c>
      <c r="C1" s="2" t="inlineStr">
        <is>
          <t>组织团队</t>
        </is>
      </c>
      <c r="D1" s="2" t="inlineStr">
        <is>
          <t>本地表状态</t>
        </is>
      </c>
      <c r="E1" s="2" t="inlineStr">
        <is>
          <t>本地表分</t>
        </is>
      </c>
      <c r="F1" s="2" t="inlineStr">
        <is>
          <t>证据归一分</t>
        </is>
      </c>
      <c r="G1" s="2" t="inlineStr">
        <is>
          <t>角色责任分</t>
        </is>
      </c>
      <c r="H1" s="2" t="inlineStr">
        <is>
          <t>主线贡献分</t>
        </is>
      </c>
      <c r="I1" s="2" t="inlineStr">
        <is>
          <t>证据置信分</t>
        </is>
      </c>
      <c r="J1" s="2" t="inlineStr">
        <is>
          <t>本地有效权重</t>
        </is>
      </c>
      <c r="K1" s="2" t="inlineStr">
        <is>
          <t>证据有效权重</t>
        </is>
      </c>
      <c r="L1" s="2" t="inlineStr">
        <is>
          <t>角色有效权重</t>
        </is>
      </c>
      <c r="M1" s="2" t="inlineStr">
        <is>
          <t>主线有效权重</t>
        </is>
      </c>
      <c r="N1" s="2" t="inlineStr">
        <is>
          <t>置信有效权重</t>
        </is>
      </c>
      <c r="O1" s="2" t="inlineStr">
        <is>
          <t>模型预估分</t>
        </is>
      </c>
      <c r="P1" s="2" t="inlineStr">
        <is>
          <t>模型档位</t>
        </is>
      </c>
      <c r="Q1" s="2" t="inlineStr">
        <is>
          <t>建议动作</t>
        </is>
      </c>
      <c r="R1" s="2" t="inlineStr">
        <is>
          <t>说明</t>
        </is>
      </c>
    </row>
    <row r="2">
      <c r="A2" s="3">
        <f>'04_员工输入'!A2</f>
        <v/>
      </c>
      <c r="B2" s="3">
        <f>'04_员工输入'!C2</f>
        <v/>
      </c>
      <c r="C2" s="3">
        <f>'04_员工输入'!D2</f>
        <v/>
      </c>
      <c r="D2" s="3">
        <f>'04_员工输入'!P2</f>
        <v/>
      </c>
      <c r="E2" s="3">
        <f>IF(D2="filled",'04_员工输入'!U2,IFERROR(SUMIFS('03_映射表'!$C:$C,'03_映射表'!$A:$A,"qualitative_load",'03_映射表'!$B:$B,'04_员工输入'!F2),60))</f>
        <v/>
      </c>
      <c r="F2" s="3">
        <f>MIN(100,'04_员工输入'!J2/VLOOKUP("evidence_benchmark",'01_权重设置'!$A:$C,3,FALSE)*100)</f>
        <v/>
      </c>
      <c r="G2" s="3">
        <f>MIN(100,'04_员工输入'!H2*VLOOKUP("leader_point",'01_权重设置'!$A:$C,3,FALSE)+'04_员工输入'!I2*VLOOKUP("partner_point",'01_权重设置'!$A:$C,3,FALSE)+IF('04_员工输入'!E2="owner",VLOOKUP("owner_bonus",'01_权重设置'!$A:$C,3,FALSE),0))</f>
        <v/>
      </c>
      <c r="H2" s="3">
        <f>ROUND((F2*0.45+G2*0.25+MIN(100,'04_员工输入'!K2/VLOOKUP("project_benchmark",'01_权重设置'!$A:$C,3,FALSE)*100)*0.20+IFERROR(SUMIFS('03_映射表'!$C:$C,'03_映射表'!$A:$A,"qualitative_load",'03_映射表'!$B:$B,'04_员工输入'!F2),60)*0.10),1)</f>
        <v/>
      </c>
      <c r="I2" s="3">
        <f>MIN(100,IF(D2="filled",35,0)+IF('04_员工输入'!J2&gt;0,35,0)+IF('04_员工输入'!K2&gt;0,15,0)+IF('04_员工输入'!H2+'04_员工输入'!I2&gt;0,15,0))</f>
        <v/>
      </c>
      <c r="J2" s="6">
        <f>VLOOKUP("w_local_form",'01_权重设置'!$A:$C,3,FALSE)</f>
        <v/>
      </c>
      <c r="K2" s="6">
        <f>VLOOKUP("w_evidence",'01_权重设置'!$A:$C,3,FALSE)</f>
        <v/>
      </c>
      <c r="L2" s="6">
        <f>VLOOKUP("w_role",'01_权重设置'!$A:$C,3,FALSE)</f>
        <v/>
      </c>
      <c r="M2" s="6">
        <f>VLOOKUP("w_mainline",'01_权重设置'!$A:$C,3,FALSE)</f>
        <v/>
      </c>
      <c r="N2" s="6">
        <f>VLOOKUP("w_confidence",'01_权重设置'!$A:$C,3,FALSE)</f>
        <v/>
      </c>
      <c r="O2" s="7">
        <f>IF(B2="excluded_transition","EXCLUDED",ROUND(E2*J2+F2*K2+G2*L2+H2*M2+I2*N2-VLOOKUP("blank_form_penalty",'01_权重设置'!$A:$C,3,FALSE)*(D2&lt;&gt;"filled"),1))</f>
        <v/>
      </c>
      <c r="P2" s="3">
        <f>IF(O2="EXCLUDED","排除",IF(O2&gt;=90,"A",IF(O2&gt;=85,"B+",IF(O2&gt;=75,"B",IF(O2&gt;=60,"C","D")))))</f>
        <v/>
      </c>
      <c r="Q2" s="3">
        <f>IF(B2="excluded_transition","不进入本轮主分析",IF(D2&lt;&gt;"filled","补齐本地评价表与证据索引",IF(I2&lt;70,"补证并复核置信度","可进入管理者校准")))</f>
        <v/>
      </c>
      <c r="R2" s="3">
        <f>IF(D2&lt;&gt;"filled","当前本地员工表为空模板，本地表分使用现有规则基线；填写后自动替换为人工评价分。","本地评价表已参与模型加权。")</f>
        <v/>
      </c>
    </row>
    <row r="3">
      <c r="A3" s="3">
        <f>'04_员工输入'!A3</f>
        <v/>
      </c>
      <c r="B3" s="3">
        <f>'04_员工输入'!C3</f>
        <v/>
      </c>
      <c r="C3" s="3">
        <f>'04_员工输入'!D3</f>
        <v/>
      </c>
      <c r="D3" s="3">
        <f>'04_员工输入'!P3</f>
        <v/>
      </c>
      <c r="E3" s="3">
        <f>IF(D3="filled",'04_员工输入'!U3,IFERROR(SUMIFS('03_映射表'!$C:$C,'03_映射表'!$A:$A,"qualitative_load",'03_映射表'!$B:$B,'04_员工输入'!F3),60))</f>
        <v/>
      </c>
      <c r="F3" s="3">
        <f>MIN(100,'04_员工输入'!J3/VLOOKUP("evidence_benchmark",'01_权重设置'!$A:$C,3,FALSE)*100)</f>
        <v/>
      </c>
      <c r="G3" s="3">
        <f>MIN(100,'04_员工输入'!H3*VLOOKUP("leader_point",'01_权重设置'!$A:$C,3,FALSE)+'04_员工输入'!I3*VLOOKUP("partner_point",'01_权重设置'!$A:$C,3,FALSE)+IF('04_员工输入'!E3="owner",VLOOKUP("owner_bonus",'01_权重设置'!$A:$C,3,FALSE),0))</f>
        <v/>
      </c>
      <c r="H3" s="3">
        <f>ROUND((F3*0.45+G3*0.25+MIN(100,'04_员工输入'!K3/VLOOKUP("project_benchmark",'01_权重设置'!$A:$C,3,FALSE)*100)*0.20+IFERROR(SUMIFS('03_映射表'!$C:$C,'03_映射表'!$A:$A,"qualitative_load",'03_映射表'!$B:$B,'04_员工输入'!F3),60)*0.10),1)</f>
        <v/>
      </c>
      <c r="I3" s="3">
        <f>MIN(100,IF(D3="filled",35,0)+IF('04_员工输入'!J3&gt;0,35,0)+IF('04_员工输入'!K3&gt;0,15,0)+IF('04_员工输入'!H3+'04_员工输入'!I3&gt;0,15,0))</f>
        <v/>
      </c>
      <c r="J3" s="6">
        <f>VLOOKUP("w_local_form",'01_权重设置'!$A:$C,3,FALSE)</f>
        <v/>
      </c>
      <c r="K3" s="6">
        <f>VLOOKUP("w_evidence",'01_权重设置'!$A:$C,3,FALSE)</f>
        <v/>
      </c>
      <c r="L3" s="6">
        <f>VLOOKUP("w_role",'01_权重设置'!$A:$C,3,FALSE)</f>
        <v/>
      </c>
      <c r="M3" s="6">
        <f>VLOOKUP("w_mainline",'01_权重设置'!$A:$C,3,FALSE)</f>
        <v/>
      </c>
      <c r="N3" s="6">
        <f>VLOOKUP("w_confidence",'01_权重设置'!$A:$C,3,FALSE)</f>
        <v/>
      </c>
      <c r="O3" s="7">
        <f>IF(B3="excluded_transition","EXCLUDED",ROUND(E3*J3+F3*K3+G3*L3+H3*M3+I3*N3-VLOOKUP("blank_form_penalty",'01_权重设置'!$A:$C,3,FALSE)*(D3&lt;&gt;"filled"),1))</f>
        <v/>
      </c>
      <c r="P3" s="3">
        <f>IF(O3="EXCLUDED","排除",IF(O3&gt;=90,"A",IF(O3&gt;=85,"B+",IF(O3&gt;=75,"B",IF(O3&gt;=60,"C","D")))))</f>
        <v/>
      </c>
      <c r="Q3" s="3">
        <f>IF(B3="excluded_transition","不进入本轮主分析",IF(D3&lt;&gt;"filled","补齐本地评价表与证据索引",IF(I3&lt;70,"补证并复核置信度","可进入管理者校准")))</f>
        <v/>
      </c>
      <c r="R3" s="3">
        <f>IF(D3&lt;&gt;"filled","当前本地员工表为空模板，本地表分使用现有规则基线；填写后自动替换为人工评价分。","本地评价表已参与模型加权。")</f>
        <v/>
      </c>
    </row>
    <row r="4">
      <c r="A4" s="3">
        <f>'04_员工输入'!A4</f>
        <v/>
      </c>
      <c r="B4" s="3">
        <f>'04_员工输入'!C4</f>
        <v/>
      </c>
      <c r="C4" s="3">
        <f>'04_员工输入'!D4</f>
        <v/>
      </c>
      <c r="D4" s="3">
        <f>'04_员工输入'!P4</f>
        <v/>
      </c>
      <c r="E4" s="3">
        <f>IF(D4="filled",'04_员工输入'!U4,IFERROR(SUMIFS('03_映射表'!$C:$C,'03_映射表'!$A:$A,"qualitative_load",'03_映射表'!$B:$B,'04_员工输入'!F4),60))</f>
        <v/>
      </c>
      <c r="F4" s="3">
        <f>MIN(100,'04_员工输入'!J4/VLOOKUP("evidence_benchmark",'01_权重设置'!$A:$C,3,FALSE)*100)</f>
        <v/>
      </c>
      <c r="G4" s="3">
        <f>MIN(100,'04_员工输入'!H4*VLOOKUP("leader_point",'01_权重设置'!$A:$C,3,FALSE)+'04_员工输入'!I4*VLOOKUP("partner_point",'01_权重设置'!$A:$C,3,FALSE)+IF('04_员工输入'!E4="owner",VLOOKUP("owner_bonus",'01_权重设置'!$A:$C,3,FALSE),0))</f>
        <v/>
      </c>
      <c r="H4" s="3">
        <f>ROUND((F4*0.45+G4*0.25+MIN(100,'04_员工输入'!K4/VLOOKUP("project_benchmark",'01_权重设置'!$A:$C,3,FALSE)*100)*0.20+IFERROR(SUMIFS('03_映射表'!$C:$C,'03_映射表'!$A:$A,"qualitative_load",'03_映射表'!$B:$B,'04_员工输入'!F4),60)*0.10),1)</f>
        <v/>
      </c>
      <c r="I4" s="3">
        <f>MIN(100,IF(D4="filled",35,0)+IF('04_员工输入'!J4&gt;0,35,0)+IF('04_员工输入'!K4&gt;0,15,0)+IF('04_员工输入'!H4+'04_员工输入'!I4&gt;0,15,0))</f>
        <v/>
      </c>
      <c r="J4" s="6">
        <f>VLOOKUP("w_local_form",'01_权重设置'!$A:$C,3,FALSE)</f>
        <v/>
      </c>
      <c r="K4" s="6">
        <f>VLOOKUP("w_evidence",'01_权重设置'!$A:$C,3,FALSE)</f>
        <v/>
      </c>
      <c r="L4" s="6">
        <f>VLOOKUP("w_role",'01_权重设置'!$A:$C,3,FALSE)</f>
        <v/>
      </c>
      <c r="M4" s="6">
        <f>VLOOKUP("w_mainline",'01_权重设置'!$A:$C,3,FALSE)</f>
        <v/>
      </c>
      <c r="N4" s="6">
        <f>VLOOKUP("w_confidence",'01_权重设置'!$A:$C,3,FALSE)</f>
        <v/>
      </c>
      <c r="O4" s="7">
        <f>IF(B4="excluded_transition","EXCLUDED",ROUND(E4*J4+F4*K4+G4*L4+H4*M4+I4*N4-VLOOKUP("blank_form_penalty",'01_权重设置'!$A:$C,3,FALSE)*(D4&lt;&gt;"filled"),1))</f>
        <v/>
      </c>
      <c r="P4" s="3">
        <f>IF(O4="EXCLUDED","排除",IF(O4&gt;=90,"A",IF(O4&gt;=85,"B+",IF(O4&gt;=75,"B",IF(O4&gt;=60,"C","D")))))</f>
        <v/>
      </c>
      <c r="Q4" s="3">
        <f>IF(B4="excluded_transition","不进入本轮主分析",IF(D4&lt;&gt;"filled","补齐本地评价表与证据索引",IF(I4&lt;70,"补证并复核置信度","可进入管理者校准")))</f>
        <v/>
      </c>
      <c r="R4" s="3">
        <f>IF(D4&lt;&gt;"filled","当前本地员工表为空模板，本地表分使用现有规则基线；填写后自动替换为人工评价分。","本地评价表已参与模型加权。")</f>
        <v/>
      </c>
    </row>
    <row r="5">
      <c r="A5" s="3">
        <f>'04_员工输入'!A5</f>
        <v/>
      </c>
      <c r="B5" s="3">
        <f>'04_员工输入'!C5</f>
        <v/>
      </c>
      <c r="C5" s="3">
        <f>'04_员工输入'!D5</f>
        <v/>
      </c>
      <c r="D5" s="3">
        <f>'04_员工输入'!P5</f>
        <v/>
      </c>
      <c r="E5" s="3">
        <f>IF(D5="filled",'04_员工输入'!U5,IFERROR(SUMIFS('03_映射表'!$C:$C,'03_映射表'!$A:$A,"qualitative_load",'03_映射表'!$B:$B,'04_员工输入'!F5),60))</f>
        <v/>
      </c>
      <c r="F5" s="3">
        <f>MIN(100,'04_员工输入'!J5/VLOOKUP("evidence_benchmark",'01_权重设置'!$A:$C,3,FALSE)*100)</f>
        <v/>
      </c>
      <c r="G5" s="3">
        <f>MIN(100,'04_员工输入'!H5*VLOOKUP("leader_point",'01_权重设置'!$A:$C,3,FALSE)+'04_员工输入'!I5*VLOOKUP("partner_point",'01_权重设置'!$A:$C,3,FALSE)+IF('04_员工输入'!E5="owner",VLOOKUP("owner_bonus",'01_权重设置'!$A:$C,3,FALSE),0))</f>
        <v/>
      </c>
      <c r="H5" s="3">
        <f>ROUND((F5*0.45+G5*0.25+MIN(100,'04_员工输入'!K5/VLOOKUP("project_benchmark",'01_权重设置'!$A:$C,3,FALSE)*100)*0.20+IFERROR(SUMIFS('03_映射表'!$C:$C,'03_映射表'!$A:$A,"qualitative_load",'03_映射表'!$B:$B,'04_员工输入'!F5),60)*0.10),1)</f>
        <v/>
      </c>
      <c r="I5" s="3">
        <f>MIN(100,IF(D5="filled",35,0)+IF('04_员工输入'!J5&gt;0,35,0)+IF('04_员工输入'!K5&gt;0,15,0)+IF('04_员工输入'!H5+'04_员工输入'!I5&gt;0,15,0))</f>
        <v/>
      </c>
      <c r="J5" s="6">
        <f>VLOOKUP("w_local_form",'01_权重设置'!$A:$C,3,FALSE)</f>
        <v/>
      </c>
      <c r="K5" s="6">
        <f>VLOOKUP("w_evidence",'01_权重设置'!$A:$C,3,FALSE)</f>
        <v/>
      </c>
      <c r="L5" s="6">
        <f>VLOOKUP("w_role",'01_权重设置'!$A:$C,3,FALSE)</f>
        <v/>
      </c>
      <c r="M5" s="6">
        <f>VLOOKUP("w_mainline",'01_权重设置'!$A:$C,3,FALSE)</f>
        <v/>
      </c>
      <c r="N5" s="6">
        <f>VLOOKUP("w_confidence",'01_权重设置'!$A:$C,3,FALSE)</f>
        <v/>
      </c>
      <c r="O5" s="7">
        <f>IF(B5="excluded_transition","EXCLUDED",ROUND(E5*J5+F5*K5+G5*L5+H5*M5+I5*N5-VLOOKUP("blank_form_penalty",'01_权重设置'!$A:$C,3,FALSE)*(D5&lt;&gt;"filled"),1))</f>
        <v/>
      </c>
      <c r="P5" s="3">
        <f>IF(O5="EXCLUDED","排除",IF(O5&gt;=90,"A",IF(O5&gt;=85,"B+",IF(O5&gt;=75,"B",IF(O5&gt;=60,"C","D")))))</f>
        <v/>
      </c>
      <c r="Q5" s="3">
        <f>IF(B5="excluded_transition","不进入本轮主分析",IF(D5&lt;&gt;"filled","补齐本地评价表与证据索引",IF(I5&lt;70,"补证并复核置信度","可进入管理者校准")))</f>
        <v/>
      </c>
      <c r="R5" s="3">
        <f>IF(D5&lt;&gt;"filled","当前本地员工表为空模板，本地表分使用现有规则基线；填写后自动替换为人工评价分。","本地评价表已参与模型加权。")</f>
        <v/>
      </c>
    </row>
    <row r="6">
      <c r="A6" s="3">
        <f>'04_员工输入'!A6</f>
        <v/>
      </c>
      <c r="B6" s="3">
        <f>'04_员工输入'!C6</f>
        <v/>
      </c>
      <c r="C6" s="3">
        <f>'04_员工输入'!D6</f>
        <v/>
      </c>
      <c r="D6" s="3">
        <f>'04_员工输入'!P6</f>
        <v/>
      </c>
      <c r="E6" s="3">
        <f>IF(D6="filled",'04_员工输入'!U6,IFERROR(SUMIFS('03_映射表'!$C:$C,'03_映射表'!$A:$A,"qualitative_load",'03_映射表'!$B:$B,'04_员工输入'!F6),60))</f>
        <v/>
      </c>
      <c r="F6" s="3">
        <f>MIN(100,'04_员工输入'!J6/VLOOKUP("evidence_benchmark",'01_权重设置'!$A:$C,3,FALSE)*100)</f>
        <v/>
      </c>
      <c r="G6" s="3">
        <f>MIN(100,'04_员工输入'!H6*VLOOKUP("leader_point",'01_权重设置'!$A:$C,3,FALSE)+'04_员工输入'!I6*VLOOKUP("partner_point",'01_权重设置'!$A:$C,3,FALSE)+IF('04_员工输入'!E6="owner",VLOOKUP("owner_bonus",'01_权重设置'!$A:$C,3,FALSE),0))</f>
        <v/>
      </c>
      <c r="H6" s="3">
        <f>ROUND((F6*0.45+G6*0.25+MIN(100,'04_员工输入'!K6/VLOOKUP("project_benchmark",'01_权重设置'!$A:$C,3,FALSE)*100)*0.20+IFERROR(SUMIFS('03_映射表'!$C:$C,'03_映射表'!$A:$A,"qualitative_load",'03_映射表'!$B:$B,'04_员工输入'!F6),60)*0.10),1)</f>
        <v/>
      </c>
      <c r="I6" s="3">
        <f>MIN(100,IF(D6="filled",35,0)+IF('04_员工输入'!J6&gt;0,35,0)+IF('04_员工输入'!K6&gt;0,15,0)+IF('04_员工输入'!H6+'04_员工输入'!I6&gt;0,15,0))</f>
        <v/>
      </c>
      <c r="J6" s="6">
        <f>VLOOKUP("w_local_form",'01_权重设置'!$A:$C,3,FALSE)</f>
        <v/>
      </c>
      <c r="K6" s="6">
        <f>VLOOKUP("w_evidence",'01_权重设置'!$A:$C,3,FALSE)</f>
        <v/>
      </c>
      <c r="L6" s="6">
        <f>VLOOKUP("w_role",'01_权重设置'!$A:$C,3,FALSE)</f>
        <v/>
      </c>
      <c r="M6" s="6">
        <f>VLOOKUP("w_mainline",'01_权重设置'!$A:$C,3,FALSE)</f>
        <v/>
      </c>
      <c r="N6" s="6">
        <f>VLOOKUP("w_confidence",'01_权重设置'!$A:$C,3,FALSE)</f>
        <v/>
      </c>
      <c r="O6" s="7">
        <f>IF(B6="excluded_transition","EXCLUDED",ROUND(E6*J6+F6*K6+G6*L6+H6*M6+I6*N6-VLOOKUP("blank_form_penalty",'01_权重设置'!$A:$C,3,FALSE)*(D6&lt;&gt;"filled"),1))</f>
        <v/>
      </c>
      <c r="P6" s="3">
        <f>IF(O6="EXCLUDED","排除",IF(O6&gt;=90,"A",IF(O6&gt;=85,"B+",IF(O6&gt;=75,"B",IF(O6&gt;=60,"C","D")))))</f>
        <v/>
      </c>
      <c r="Q6" s="3">
        <f>IF(B6="excluded_transition","不进入本轮主分析",IF(D6&lt;&gt;"filled","补齐本地评价表与证据索引",IF(I6&lt;70,"补证并复核置信度","可进入管理者校准")))</f>
        <v/>
      </c>
      <c r="R6" s="3">
        <f>IF(D6&lt;&gt;"filled","当前本地员工表为空模板，本地表分使用现有规则基线；填写后自动替换为人工评价分。","本地评价表已参与模型加权。")</f>
        <v/>
      </c>
    </row>
    <row r="7">
      <c r="A7" s="3">
        <f>'04_员工输入'!A7</f>
        <v/>
      </c>
      <c r="B7" s="3">
        <f>'04_员工输入'!C7</f>
        <v/>
      </c>
      <c r="C7" s="3">
        <f>'04_员工输入'!D7</f>
        <v/>
      </c>
      <c r="D7" s="3">
        <f>'04_员工输入'!P7</f>
        <v/>
      </c>
      <c r="E7" s="3">
        <f>IF(D7="filled",'04_员工输入'!U7,IFERROR(SUMIFS('03_映射表'!$C:$C,'03_映射表'!$A:$A,"qualitative_load",'03_映射表'!$B:$B,'04_员工输入'!F7),60))</f>
        <v/>
      </c>
      <c r="F7" s="3">
        <f>MIN(100,'04_员工输入'!J7/VLOOKUP("evidence_benchmark",'01_权重设置'!$A:$C,3,FALSE)*100)</f>
        <v/>
      </c>
      <c r="G7" s="3">
        <f>MIN(100,'04_员工输入'!H7*VLOOKUP("leader_point",'01_权重设置'!$A:$C,3,FALSE)+'04_员工输入'!I7*VLOOKUP("partner_point",'01_权重设置'!$A:$C,3,FALSE)+IF('04_员工输入'!E7="owner",VLOOKUP("owner_bonus",'01_权重设置'!$A:$C,3,FALSE),0))</f>
        <v/>
      </c>
      <c r="H7" s="3">
        <f>ROUND((F7*0.45+G7*0.25+MIN(100,'04_员工输入'!K7/VLOOKUP("project_benchmark",'01_权重设置'!$A:$C,3,FALSE)*100)*0.20+IFERROR(SUMIFS('03_映射表'!$C:$C,'03_映射表'!$A:$A,"qualitative_load",'03_映射表'!$B:$B,'04_员工输入'!F7),60)*0.10),1)</f>
        <v/>
      </c>
      <c r="I7" s="3">
        <f>MIN(100,IF(D7="filled",35,0)+IF('04_员工输入'!J7&gt;0,35,0)+IF('04_员工输入'!K7&gt;0,15,0)+IF('04_员工输入'!H7+'04_员工输入'!I7&gt;0,15,0))</f>
        <v/>
      </c>
      <c r="J7" s="6">
        <f>VLOOKUP("w_local_form",'01_权重设置'!$A:$C,3,FALSE)</f>
        <v/>
      </c>
      <c r="K7" s="6">
        <f>VLOOKUP("w_evidence",'01_权重设置'!$A:$C,3,FALSE)</f>
        <v/>
      </c>
      <c r="L7" s="6">
        <f>VLOOKUP("w_role",'01_权重设置'!$A:$C,3,FALSE)</f>
        <v/>
      </c>
      <c r="M7" s="6">
        <f>VLOOKUP("w_mainline",'01_权重设置'!$A:$C,3,FALSE)</f>
        <v/>
      </c>
      <c r="N7" s="6">
        <f>VLOOKUP("w_confidence",'01_权重设置'!$A:$C,3,FALSE)</f>
        <v/>
      </c>
      <c r="O7" s="7">
        <f>IF(B7="excluded_transition","EXCLUDED",ROUND(E7*J7+F7*K7+G7*L7+H7*M7+I7*N7-VLOOKUP("blank_form_penalty",'01_权重设置'!$A:$C,3,FALSE)*(D7&lt;&gt;"filled"),1))</f>
        <v/>
      </c>
      <c r="P7" s="3">
        <f>IF(O7="EXCLUDED","排除",IF(O7&gt;=90,"A",IF(O7&gt;=85,"B+",IF(O7&gt;=75,"B",IF(O7&gt;=60,"C","D")))))</f>
        <v/>
      </c>
      <c r="Q7" s="3">
        <f>IF(B7="excluded_transition","不进入本轮主分析",IF(D7&lt;&gt;"filled","补齐本地评价表与证据索引",IF(I7&lt;70,"补证并复核置信度","可进入管理者校准")))</f>
        <v/>
      </c>
      <c r="R7" s="3">
        <f>IF(D7&lt;&gt;"filled","当前本地员工表为空模板，本地表分使用现有规则基线；填写后自动替换为人工评价分。","本地评价表已参与模型加权。")</f>
        <v/>
      </c>
    </row>
    <row r="8">
      <c r="A8" s="3">
        <f>'04_员工输入'!A8</f>
        <v/>
      </c>
      <c r="B8" s="3">
        <f>'04_员工输入'!C8</f>
        <v/>
      </c>
      <c r="C8" s="3">
        <f>'04_员工输入'!D8</f>
        <v/>
      </c>
      <c r="D8" s="3">
        <f>'04_员工输入'!P8</f>
        <v/>
      </c>
      <c r="E8" s="3">
        <f>IF(D8="filled",'04_员工输入'!U8,IFERROR(SUMIFS('03_映射表'!$C:$C,'03_映射表'!$A:$A,"qualitative_load",'03_映射表'!$B:$B,'04_员工输入'!F8),60))</f>
        <v/>
      </c>
      <c r="F8" s="3">
        <f>MIN(100,'04_员工输入'!J8/VLOOKUP("evidence_benchmark",'01_权重设置'!$A:$C,3,FALSE)*100)</f>
        <v/>
      </c>
      <c r="G8" s="3">
        <f>MIN(100,'04_员工输入'!H8*VLOOKUP("leader_point",'01_权重设置'!$A:$C,3,FALSE)+'04_员工输入'!I8*VLOOKUP("partner_point",'01_权重设置'!$A:$C,3,FALSE)+IF('04_员工输入'!E8="owner",VLOOKUP("owner_bonus",'01_权重设置'!$A:$C,3,FALSE),0))</f>
        <v/>
      </c>
      <c r="H8" s="3">
        <f>ROUND((F8*0.45+G8*0.25+MIN(100,'04_员工输入'!K8/VLOOKUP("project_benchmark",'01_权重设置'!$A:$C,3,FALSE)*100)*0.20+IFERROR(SUMIFS('03_映射表'!$C:$C,'03_映射表'!$A:$A,"qualitative_load",'03_映射表'!$B:$B,'04_员工输入'!F8),60)*0.10),1)</f>
        <v/>
      </c>
      <c r="I8" s="3">
        <f>MIN(100,IF(D8="filled",35,0)+IF('04_员工输入'!J8&gt;0,35,0)+IF('04_员工输入'!K8&gt;0,15,0)+IF('04_员工输入'!H8+'04_员工输入'!I8&gt;0,15,0))</f>
        <v/>
      </c>
      <c r="J8" s="6">
        <f>VLOOKUP("w_local_form",'01_权重设置'!$A:$C,3,FALSE)</f>
        <v/>
      </c>
      <c r="K8" s="6">
        <f>VLOOKUP("w_evidence",'01_权重设置'!$A:$C,3,FALSE)</f>
        <v/>
      </c>
      <c r="L8" s="6">
        <f>VLOOKUP("w_role",'01_权重设置'!$A:$C,3,FALSE)</f>
        <v/>
      </c>
      <c r="M8" s="6">
        <f>VLOOKUP("w_mainline",'01_权重设置'!$A:$C,3,FALSE)</f>
        <v/>
      </c>
      <c r="N8" s="6">
        <f>VLOOKUP("w_confidence",'01_权重设置'!$A:$C,3,FALSE)</f>
        <v/>
      </c>
      <c r="O8" s="7">
        <f>IF(B8="excluded_transition","EXCLUDED",ROUND(E8*J8+F8*K8+G8*L8+H8*M8+I8*N8-VLOOKUP("blank_form_penalty",'01_权重设置'!$A:$C,3,FALSE)*(D8&lt;&gt;"filled"),1))</f>
        <v/>
      </c>
      <c r="P8" s="3">
        <f>IF(O8="EXCLUDED","排除",IF(O8&gt;=90,"A",IF(O8&gt;=85,"B+",IF(O8&gt;=75,"B",IF(O8&gt;=60,"C","D")))))</f>
        <v/>
      </c>
      <c r="Q8" s="3">
        <f>IF(B8="excluded_transition","不进入本轮主分析",IF(D8&lt;&gt;"filled","补齐本地评价表与证据索引",IF(I8&lt;70,"补证并复核置信度","可进入管理者校准")))</f>
        <v/>
      </c>
      <c r="R8" s="3">
        <f>IF(D8&lt;&gt;"filled","当前本地员工表为空模板，本地表分使用现有规则基线；填写后自动替换为人工评价分。","本地评价表已参与模型加权。")</f>
        <v/>
      </c>
    </row>
    <row r="9">
      <c r="A9" s="3">
        <f>'04_员工输入'!A9</f>
        <v/>
      </c>
      <c r="B9" s="3">
        <f>'04_员工输入'!C9</f>
        <v/>
      </c>
      <c r="C9" s="3">
        <f>'04_员工输入'!D9</f>
        <v/>
      </c>
      <c r="D9" s="3">
        <f>'04_员工输入'!P9</f>
        <v/>
      </c>
      <c r="E9" s="3">
        <f>IF(D9="filled",'04_员工输入'!U9,IFERROR(SUMIFS('03_映射表'!$C:$C,'03_映射表'!$A:$A,"qualitative_load",'03_映射表'!$B:$B,'04_员工输入'!F9),60))</f>
        <v/>
      </c>
      <c r="F9" s="3">
        <f>MIN(100,'04_员工输入'!J9/VLOOKUP("evidence_benchmark",'01_权重设置'!$A:$C,3,FALSE)*100)</f>
        <v/>
      </c>
      <c r="G9" s="3">
        <f>MIN(100,'04_员工输入'!H9*VLOOKUP("leader_point",'01_权重设置'!$A:$C,3,FALSE)+'04_员工输入'!I9*VLOOKUP("partner_point",'01_权重设置'!$A:$C,3,FALSE)+IF('04_员工输入'!E9="owner",VLOOKUP("owner_bonus",'01_权重设置'!$A:$C,3,FALSE),0))</f>
        <v/>
      </c>
      <c r="H9" s="3">
        <f>ROUND((F9*0.45+G9*0.25+MIN(100,'04_员工输入'!K9/VLOOKUP("project_benchmark",'01_权重设置'!$A:$C,3,FALSE)*100)*0.20+IFERROR(SUMIFS('03_映射表'!$C:$C,'03_映射表'!$A:$A,"qualitative_load",'03_映射表'!$B:$B,'04_员工输入'!F9),60)*0.10),1)</f>
        <v/>
      </c>
      <c r="I9" s="3">
        <f>MIN(100,IF(D9="filled",35,0)+IF('04_员工输入'!J9&gt;0,35,0)+IF('04_员工输入'!K9&gt;0,15,0)+IF('04_员工输入'!H9+'04_员工输入'!I9&gt;0,15,0))</f>
        <v/>
      </c>
      <c r="J9" s="6">
        <f>VLOOKUP("w_local_form",'01_权重设置'!$A:$C,3,FALSE)</f>
        <v/>
      </c>
      <c r="K9" s="6">
        <f>VLOOKUP("w_evidence",'01_权重设置'!$A:$C,3,FALSE)</f>
        <v/>
      </c>
      <c r="L9" s="6">
        <f>VLOOKUP("w_role",'01_权重设置'!$A:$C,3,FALSE)</f>
        <v/>
      </c>
      <c r="M9" s="6">
        <f>VLOOKUP("w_mainline",'01_权重设置'!$A:$C,3,FALSE)</f>
        <v/>
      </c>
      <c r="N9" s="6">
        <f>VLOOKUP("w_confidence",'01_权重设置'!$A:$C,3,FALSE)</f>
        <v/>
      </c>
      <c r="O9" s="7">
        <f>IF(B9="excluded_transition","EXCLUDED",ROUND(E9*J9+F9*K9+G9*L9+H9*M9+I9*N9-VLOOKUP("blank_form_penalty",'01_权重设置'!$A:$C,3,FALSE)*(D9&lt;&gt;"filled"),1))</f>
        <v/>
      </c>
      <c r="P9" s="3">
        <f>IF(O9="EXCLUDED","排除",IF(O9&gt;=90,"A",IF(O9&gt;=85,"B+",IF(O9&gt;=75,"B",IF(O9&gt;=60,"C","D")))))</f>
        <v/>
      </c>
      <c r="Q9" s="3">
        <f>IF(B9="excluded_transition","不进入本轮主分析",IF(D9&lt;&gt;"filled","补齐本地评价表与证据索引",IF(I9&lt;70,"补证并复核置信度","可进入管理者校准")))</f>
        <v/>
      </c>
      <c r="R9" s="3">
        <f>IF(D9&lt;&gt;"filled","当前本地员工表为空模板，本地表分使用现有规则基线；填写后自动替换为人工评价分。","本地评价表已参与模型加权。")</f>
        <v/>
      </c>
    </row>
    <row r="10">
      <c r="A10" s="3">
        <f>'04_员工输入'!A10</f>
        <v/>
      </c>
      <c r="B10" s="3">
        <f>'04_员工输入'!C10</f>
        <v/>
      </c>
      <c r="C10" s="3">
        <f>'04_员工输入'!D10</f>
        <v/>
      </c>
      <c r="D10" s="3">
        <f>'04_员工输入'!P10</f>
        <v/>
      </c>
      <c r="E10" s="3">
        <f>IF(D10="filled",'04_员工输入'!U10,IFERROR(SUMIFS('03_映射表'!$C:$C,'03_映射表'!$A:$A,"qualitative_load",'03_映射表'!$B:$B,'04_员工输入'!F10),60))</f>
        <v/>
      </c>
      <c r="F10" s="3">
        <f>MIN(100,'04_员工输入'!J10/VLOOKUP("evidence_benchmark",'01_权重设置'!$A:$C,3,FALSE)*100)</f>
        <v/>
      </c>
      <c r="G10" s="3">
        <f>MIN(100,'04_员工输入'!H10*VLOOKUP("leader_point",'01_权重设置'!$A:$C,3,FALSE)+'04_员工输入'!I10*VLOOKUP("partner_point",'01_权重设置'!$A:$C,3,FALSE)+IF('04_员工输入'!E10="owner",VLOOKUP("owner_bonus",'01_权重设置'!$A:$C,3,FALSE),0))</f>
        <v/>
      </c>
      <c r="H10" s="3">
        <f>ROUND((F10*0.45+G10*0.25+MIN(100,'04_员工输入'!K10/VLOOKUP("project_benchmark",'01_权重设置'!$A:$C,3,FALSE)*100)*0.20+IFERROR(SUMIFS('03_映射表'!$C:$C,'03_映射表'!$A:$A,"qualitative_load",'03_映射表'!$B:$B,'04_员工输入'!F10),60)*0.10),1)</f>
        <v/>
      </c>
      <c r="I10" s="3">
        <f>MIN(100,IF(D10="filled",35,0)+IF('04_员工输入'!J10&gt;0,35,0)+IF('04_员工输入'!K10&gt;0,15,0)+IF('04_员工输入'!H10+'04_员工输入'!I10&gt;0,15,0))</f>
        <v/>
      </c>
      <c r="J10" s="6">
        <f>VLOOKUP("w_local_form",'01_权重设置'!$A:$C,3,FALSE)</f>
        <v/>
      </c>
      <c r="K10" s="6">
        <f>VLOOKUP("w_evidence",'01_权重设置'!$A:$C,3,FALSE)</f>
        <v/>
      </c>
      <c r="L10" s="6">
        <f>VLOOKUP("w_role",'01_权重设置'!$A:$C,3,FALSE)</f>
        <v/>
      </c>
      <c r="M10" s="6">
        <f>VLOOKUP("w_mainline",'01_权重设置'!$A:$C,3,FALSE)</f>
        <v/>
      </c>
      <c r="N10" s="6">
        <f>VLOOKUP("w_confidence",'01_权重设置'!$A:$C,3,FALSE)</f>
        <v/>
      </c>
      <c r="O10" s="7">
        <f>IF(B10="excluded_transition","EXCLUDED",ROUND(E10*J10+F10*K10+G10*L10+H10*M10+I10*N10-VLOOKUP("blank_form_penalty",'01_权重设置'!$A:$C,3,FALSE)*(D10&lt;&gt;"filled"),1))</f>
        <v/>
      </c>
      <c r="P10" s="3">
        <f>IF(O10="EXCLUDED","排除",IF(O10&gt;=90,"A",IF(O10&gt;=85,"B+",IF(O10&gt;=75,"B",IF(O10&gt;=60,"C","D")))))</f>
        <v/>
      </c>
      <c r="Q10" s="3">
        <f>IF(B10="excluded_transition","不进入本轮主分析",IF(D10&lt;&gt;"filled","补齐本地评价表与证据索引",IF(I10&lt;70,"补证并复核置信度","可进入管理者校准")))</f>
        <v/>
      </c>
      <c r="R10" s="3">
        <f>IF(D10&lt;&gt;"filled","当前本地员工表为空模板，本地表分使用现有规则基线；填写后自动替换为人工评价分。","本地评价表已参与模型加权。")</f>
        <v/>
      </c>
    </row>
    <row r="11">
      <c r="A11" s="3">
        <f>'04_员工输入'!A11</f>
        <v/>
      </c>
      <c r="B11" s="3">
        <f>'04_员工输入'!C11</f>
        <v/>
      </c>
      <c r="C11" s="3">
        <f>'04_员工输入'!D11</f>
        <v/>
      </c>
      <c r="D11" s="3">
        <f>'04_员工输入'!P11</f>
        <v/>
      </c>
      <c r="E11" s="3">
        <f>IF(D11="filled",'04_员工输入'!U11,IFERROR(SUMIFS('03_映射表'!$C:$C,'03_映射表'!$A:$A,"qualitative_load",'03_映射表'!$B:$B,'04_员工输入'!F11),60))</f>
        <v/>
      </c>
      <c r="F11" s="3">
        <f>MIN(100,'04_员工输入'!J11/VLOOKUP("evidence_benchmark",'01_权重设置'!$A:$C,3,FALSE)*100)</f>
        <v/>
      </c>
      <c r="G11" s="3">
        <f>MIN(100,'04_员工输入'!H11*VLOOKUP("leader_point",'01_权重设置'!$A:$C,3,FALSE)+'04_员工输入'!I11*VLOOKUP("partner_point",'01_权重设置'!$A:$C,3,FALSE)+IF('04_员工输入'!E11="owner",VLOOKUP("owner_bonus",'01_权重设置'!$A:$C,3,FALSE),0))</f>
        <v/>
      </c>
      <c r="H11" s="3">
        <f>ROUND((F11*0.45+G11*0.25+MIN(100,'04_员工输入'!K11/VLOOKUP("project_benchmark",'01_权重设置'!$A:$C,3,FALSE)*100)*0.20+IFERROR(SUMIFS('03_映射表'!$C:$C,'03_映射表'!$A:$A,"qualitative_load",'03_映射表'!$B:$B,'04_员工输入'!F11),60)*0.10),1)</f>
        <v/>
      </c>
      <c r="I11" s="3">
        <f>MIN(100,IF(D11="filled",35,0)+IF('04_员工输入'!J11&gt;0,35,0)+IF('04_员工输入'!K11&gt;0,15,0)+IF('04_员工输入'!H11+'04_员工输入'!I11&gt;0,15,0))</f>
        <v/>
      </c>
      <c r="J11" s="6">
        <f>VLOOKUP("w_local_form",'01_权重设置'!$A:$C,3,FALSE)</f>
        <v/>
      </c>
      <c r="K11" s="6">
        <f>VLOOKUP("w_evidence",'01_权重设置'!$A:$C,3,FALSE)</f>
        <v/>
      </c>
      <c r="L11" s="6">
        <f>VLOOKUP("w_role",'01_权重设置'!$A:$C,3,FALSE)</f>
        <v/>
      </c>
      <c r="M11" s="6">
        <f>VLOOKUP("w_mainline",'01_权重设置'!$A:$C,3,FALSE)</f>
        <v/>
      </c>
      <c r="N11" s="6">
        <f>VLOOKUP("w_confidence",'01_权重设置'!$A:$C,3,FALSE)</f>
        <v/>
      </c>
      <c r="O11" s="7">
        <f>IF(B11="excluded_transition","EXCLUDED",ROUND(E11*J11+F11*K11+G11*L11+H11*M11+I11*N11-VLOOKUP("blank_form_penalty",'01_权重设置'!$A:$C,3,FALSE)*(D11&lt;&gt;"filled"),1))</f>
        <v/>
      </c>
      <c r="P11" s="3">
        <f>IF(O11="EXCLUDED","排除",IF(O11&gt;=90,"A",IF(O11&gt;=85,"B+",IF(O11&gt;=75,"B",IF(O11&gt;=60,"C","D")))))</f>
        <v/>
      </c>
      <c r="Q11" s="3">
        <f>IF(B11="excluded_transition","不进入本轮主分析",IF(D11&lt;&gt;"filled","补齐本地评价表与证据索引",IF(I11&lt;70,"补证并复核置信度","可进入管理者校准")))</f>
        <v/>
      </c>
      <c r="R11" s="3">
        <f>IF(D11&lt;&gt;"filled","当前本地员工表为空模板，本地表分使用现有规则基线；填写后自动替换为人工评价分。","本地评价表已参与模型加权。")</f>
        <v/>
      </c>
    </row>
    <row r="12">
      <c r="A12" s="3">
        <f>'04_员工输入'!A12</f>
        <v/>
      </c>
      <c r="B12" s="3">
        <f>'04_员工输入'!C12</f>
        <v/>
      </c>
      <c r="C12" s="3">
        <f>'04_员工输入'!D12</f>
        <v/>
      </c>
      <c r="D12" s="3">
        <f>'04_员工输入'!P12</f>
        <v/>
      </c>
      <c r="E12" s="3">
        <f>IF(D12="filled",'04_员工输入'!U12,IFERROR(SUMIFS('03_映射表'!$C:$C,'03_映射表'!$A:$A,"qualitative_load",'03_映射表'!$B:$B,'04_员工输入'!F12),60))</f>
        <v/>
      </c>
      <c r="F12" s="3">
        <f>MIN(100,'04_员工输入'!J12/VLOOKUP("evidence_benchmark",'01_权重设置'!$A:$C,3,FALSE)*100)</f>
        <v/>
      </c>
      <c r="G12" s="3">
        <f>MIN(100,'04_员工输入'!H12*VLOOKUP("leader_point",'01_权重设置'!$A:$C,3,FALSE)+'04_员工输入'!I12*VLOOKUP("partner_point",'01_权重设置'!$A:$C,3,FALSE)+IF('04_员工输入'!E12="owner",VLOOKUP("owner_bonus",'01_权重设置'!$A:$C,3,FALSE),0))</f>
        <v/>
      </c>
      <c r="H12" s="3">
        <f>ROUND((F12*0.45+G12*0.25+MIN(100,'04_员工输入'!K12/VLOOKUP("project_benchmark",'01_权重设置'!$A:$C,3,FALSE)*100)*0.20+IFERROR(SUMIFS('03_映射表'!$C:$C,'03_映射表'!$A:$A,"qualitative_load",'03_映射表'!$B:$B,'04_员工输入'!F12),60)*0.10),1)</f>
        <v/>
      </c>
      <c r="I12" s="3">
        <f>MIN(100,IF(D12="filled",35,0)+IF('04_员工输入'!J12&gt;0,35,0)+IF('04_员工输入'!K12&gt;0,15,0)+IF('04_员工输入'!H12+'04_员工输入'!I12&gt;0,15,0))</f>
        <v/>
      </c>
      <c r="J12" s="6">
        <f>VLOOKUP("w_local_form",'01_权重设置'!$A:$C,3,FALSE)</f>
        <v/>
      </c>
      <c r="K12" s="6">
        <f>VLOOKUP("w_evidence",'01_权重设置'!$A:$C,3,FALSE)</f>
        <v/>
      </c>
      <c r="L12" s="6">
        <f>VLOOKUP("w_role",'01_权重设置'!$A:$C,3,FALSE)</f>
        <v/>
      </c>
      <c r="M12" s="6">
        <f>VLOOKUP("w_mainline",'01_权重设置'!$A:$C,3,FALSE)</f>
        <v/>
      </c>
      <c r="N12" s="6">
        <f>VLOOKUP("w_confidence",'01_权重设置'!$A:$C,3,FALSE)</f>
        <v/>
      </c>
      <c r="O12" s="7">
        <f>IF(B12="excluded_transition","EXCLUDED",ROUND(E12*J12+F12*K12+G12*L12+H12*M12+I12*N12-VLOOKUP("blank_form_penalty",'01_权重设置'!$A:$C,3,FALSE)*(D12&lt;&gt;"filled"),1))</f>
        <v/>
      </c>
      <c r="P12" s="3">
        <f>IF(O12="EXCLUDED","排除",IF(O12&gt;=90,"A",IF(O12&gt;=85,"B+",IF(O12&gt;=75,"B",IF(O12&gt;=60,"C","D")))))</f>
        <v/>
      </c>
      <c r="Q12" s="3">
        <f>IF(B12="excluded_transition","不进入本轮主分析",IF(D12&lt;&gt;"filled","补齐本地评价表与证据索引",IF(I12&lt;70,"补证并复核置信度","可进入管理者校准")))</f>
        <v/>
      </c>
      <c r="R12" s="3">
        <f>IF(D12&lt;&gt;"filled","当前本地员工表为空模板，本地表分使用现有规则基线；填写后自动替换为人工评价分。","本地评价表已参与模型加权。")</f>
        <v/>
      </c>
    </row>
    <row r="13">
      <c r="A13" s="3">
        <f>'04_员工输入'!A13</f>
        <v/>
      </c>
      <c r="B13" s="3">
        <f>'04_员工输入'!C13</f>
        <v/>
      </c>
      <c r="C13" s="3">
        <f>'04_员工输入'!D13</f>
        <v/>
      </c>
      <c r="D13" s="3">
        <f>'04_员工输入'!P13</f>
        <v/>
      </c>
      <c r="E13" s="3">
        <f>IF(D13="filled",'04_员工输入'!U13,IFERROR(SUMIFS('03_映射表'!$C:$C,'03_映射表'!$A:$A,"qualitative_load",'03_映射表'!$B:$B,'04_员工输入'!F13),60))</f>
        <v/>
      </c>
      <c r="F13" s="3">
        <f>MIN(100,'04_员工输入'!J13/VLOOKUP("evidence_benchmark",'01_权重设置'!$A:$C,3,FALSE)*100)</f>
        <v/>
      </c>
      <c r="G13" s="3">
        <f>MIN(100,'04_员工输入'!H13*VLOOKUP("leader_point",'01_权重设置'!$A:$C,3,FALSE)+'04_员工输入'!I13*VLOOKUP("partner_point",'01_权重设置'!$A:$C,3,FALSE)+IF('04_员工输入'!E13="owner",VLOOKUP("owner_bonus",'01_权重设置'!$A:$C,3,FALSE),0))</f>
        <v/>
      </c>
      <c r="H13" s="3">
        <f>ROUND((F13*0.45+G13*0.25+MIN(100,'04_员工输入'!K13/VLOOKUP("project_benchmark",'01_权重设置'!$A:$C,3,FALSE)*100)*0.20+IFERROR(SUMIFS('03_映射表'!$C:$C,'03_映射表'!$A:$A,"qualitative_load",'03_映射表'!$B:$B,'04_员工输入'!F13),60)*0.10),1)</f>
        <v/>
      </c>
      <c r="I13" s="3">
        <f>MIN(100,IF(D13="filled",35,0)+IF('04_员工输入'!J13&gt;0,35,0)+IF('04_员工输入'!K13&gt;0,15,0)+IF('04_员工输入'!H13+'04_员工输入'!I13&gt;0,15,0))</f>
        <v/>
      </c>
      <c r="J13" s="6">
        <f>VLOOKUP("w_local_form",'01_权重设置'!$A:$C,3,FALSE)</f>
        <v/>
      </c>
      <c r="K13" s="6">
        <f>VLOOKUP("w_evidence",'01_权重设置'!$A:$C,3,FALSE)</f>
        <v/>
      </c>
      <c r="L13" s="6">
        <f>VLOOKUP("w_role",'01_权重设置'!$A:$C,3,FALSE)</f>
        <v/>
      </c>
      <c r="M13" s="6">
        <f>VLOOKUP("w_mainline",'01_权重设置'!$A:$C,3,FALSE)</f>
        <v/>
      </c>
      <c r="N13" s="6">
        <f>VLOOKUP("w_confidence",'01_权重设置'!$A:$C,3,FALSE)</f>
        <v/>
      </c>
      <c r="O13" s="7">
        <f>IF(B13="excluded_transition","EXCLUDED",ROUND(E13*J13+F13*K13+G13*L13+H13*M13+I13*N13-VLOOKUP("blank_form_penalty",'01_权重设置'!$A:$C,3,FALSE)*(D13&lt;&gt;"filled"),1))</f>
        <v/>
      </c>
      <c r="P13" s="3">
        <f>IF(O13="EXCLUDED","排除",IF(O13&gt;=90,"A",IF(O13&gt;=85,"B+",IF(O13&gt;=75,"B",IF(O13&gt;=60,"C","D")))))</f>
        <v/>
      </c>
      <c r="Q13" s="3">
        <f>IF(B13="excluded_transition","不进入本轮主分析",IF(D13&lt;&gt;"filled","补齐本地评价表与证据索引",IF(I13&lt;70,"补证并复核置信度","可进入管理者校准")))</f>
        <v/>
      </c>
      <c r="R13" s="3">
        <f>IF(D13&lt;&gt;"filled","当前本地员工表为空模板，本地表分使用现有规则基线；填写后自动替换为人工评价分。","本地评价表已参与模型加权。")</f>
        <v/>
      </c>
    </row>
    <row r="14">
      <c r="A14" s="3">
        <f>'04_员工输入'!A14</f>
        <v/>
      </c>
      <c r="B14" s="3">
        <f>'04_员工输入'!C14</f>
        <v/>
      </c>
      <c r="C14" s="3">
        <f>'04_员工输入'!D14</f>
        <v/>
      </c>
      <c r="D14" s="3">
        <f>'04_员工输入'!P14</f>
        <v/>
      </c>
      <c r="E14" s="3">
        <f>IF(D14="filled",'04_员工输入'!U14,IFERROR(SUMIFS('03_映射表'!$C:$C,'03_映射表'!$A:$A,"qualitative_load",'03_映射表'!$B:$B,'04_员工输入'!F14),60))</f>
        <v/>
      </c>
      <c r="F14" s="3">
        <f>MIN(100,'04_员工输入'!J14/VLOOKUP("evidence_benchmark",'01_权重设置'!$A:$C,3,FALSE)*100)</f>
        <v/>
      </c>
      <c r="G14" s="3">
        <f>MIN(100,'04_员工输入'!H14*VLOOKUP("leader_point",'01_权重设置'!$A:$C,3,FALSE)+'04_员工输入'!I14*VLOOKUP("partner_point",'01_权重设置'!$A:$C,3,FALSE)+IF('04_员工输入'!E14="owner",VLOOKUP("owner_bonus",'01_权重设置'!$A:$C,3,FALSE),0))</f>
        <v/>
      </c>
      <c r="H14" s="3">
        <f>ROUND((F14*0.45+G14*0.25+MIN(100,'04_员工输入'!K14/VLOOKUP("project_benchmark",'01_权重设置'!$A:$C,3,FALSE)*100)*0.20+IFERROR(SUMIFS('03_映射表'!$C:$C,'03_映射表'!$A:$A,"qualitative_load",'03_映射表'!$B:$B,'04_员工输入'!F14),60)*0.10),1)</f>
        <v/>
      </c>
      <c r="I14" s="3">
        <f>MIN(100,IF(D14="filled",35,0)+IF('04_员工输入'!J14&gt;0,35,0)+IF('04_员工输入'!K14&gt;0,15,0)+IF('04_员工输入'!H14+'04_员工输入'!I14&gt;0,15,0))</f>
        <v/>
      </c>
      <c r="J14" s="6">
        <f>VLOOKUP("w_local_form",'01_权重设置'!$A:$C,3,FALSE)</f>
        <v/>
      </c>
      <c r="K14" s="6">
        <f>VLOOKUP("w_evidence",'01_权重设置'!$A:$C,3,FALSE)</f>
        <v/>
      </c>
      <c r="L14" s="6">
        <f>VLOOKUP("w_role",'01_权重设置'!$A:$C,3,FALSE)</f>
        <v/>
      </c>
      <c r="M14" s="6">
        <f>VLOOKUP("w_mainline",'01_权重设置'!$A:$C,3,FALSE)</f>
        <v/>
      </c>
      <c r="N14" s="6">
        <f>VLOOKUP("w_confidence",'01_权重设置'!$A:$C,3,FALSE)</f>
        <v/>
      </c>
      <c r="O14" s="7">
        <f>IF(B14="excluded_transition","EXCLUDED",ROUND(E14*J14+F14*K14+G14*L14+H14*M14+I14*N14-VLOOKUP("blank_form_penalty",'01_权重设置'!$A:$C,3,FALSE)*(D14&lt;&gt;"filled"),1))</f>
        <v/>
      </c>
      <c r="P14" s="3">
        <f>IF(O14="EXCLUDED","排除",IF(O14&gt;=90,"A",IF(O14&gt;=85,"B+",IF(O14&gt;=75,"B",IF(O14&gt;=60,"C","D")))))</f>
        <v/>
      </c>
      <c r="Q14" s="3">
        <f>IF(B14="excluded_transition","不进入本轮主分析",IF(D14&lt;&gt;"filled","补齐本地评价表与证据索引",IF(I14&lt;70,"补证并复核置信度","可进入管理者校准")))</f>
        <v/>
      </c>
      <c r="R14" s="3">
        <f>IF(D14&lt;&gt;"filled","当前本地员工表为空模板，本地表分使用现有规则基线；填写后自动替换为人工评价分。","本地评价表已参与模型加权。")</f>
        <v/>
      </c>
    </row>
    <row r="15">
      <c r="A15" s="3">
        <f>'04_员工输入'!A15</f>
        <v/>
      </c>
      <c r="B15" s="3">
        <f>'04_员工输入'!C15</f>
        <v/>
      </c>
      <c r="C15" s="3">
        <f>'04_员工输入'!D15</f>
        <v/>
      </c>
      <c r="D15" s="3">
        <f>'04_员工输入'!P15</f>
        <v/>
      </c>
      <c r="E15" s="3">
        <f>IF(D15="filled",'04_员工输入'!U15,IFERROR(SUMIFS('03_映射表'!$C:$C,'03_映射表'!$A:$A,"qualitative_load",'03_映射表'!$B:$B,'04_员工输入'!F15),60))</f>
        <v/>
      </c>
      <c r="F15" s="3">
        <f>MIN(100,'04_员工输入'!J15/VLOOKUP("evidence_benchmark",'01_权重设置'!$A:$C,3,FALSE)*100)</f>
        <v/>
      </c>
      <c r="G15" s="3">
        <f>MIN(100,'04_员工输入'!H15*VLOOKUP("leader_point",'01_权重设置'!$A:$C,3,FALSE)+'04_员工输入'!I15*VLOOKUP("partner_point",'01_权重设置'!$A:$C,3,FALSE)+IF('04_员工输入'!E15="owner",VLOOKUP("owner_bonus",'01_权重设置'!$A:$C,3,FALSE),0))</f>
        <v/>
      </c>
      <c r="H15" s="3">
        <f>ROUND((F15*0.45+G15*0.25+MIN(100,'04_员工输入'!K15/VLOOKUP("project_benchmark",'01_权重设置'!$A:$C,3,FALSE)*100)*0.20+IFERROR(SUMIFS('03_映射表'!$C:$C,'03_映射表'!$A:$A,"qualitative_load",'03_映射表'!$B:$B,'04_员工输入'!F15),60)*0.10),1)</f>
        <v/>
      </c>
      <c r="I15" s="3">
        <f>MIN(100,IF(D15="filled",35,0)+IF('04_员工输入'!J15&gt;0,35,0)+IF('04_员工输入'!K15&gt;0,15,0)+IF('04_员工输入'!H15+'04_员工输入'!I15&gt;0,15,0))</f>
        <v/>
      </c>
      <c r="J15" s="6">
        <f>VLOOKUP("w_local_form",'01_权重设置'!$A:$C,3,FALSE)</f>
        <v/>
      </c>
      <c r="K15" s="6">
        <f>VLOOKUP("w_evidence",'01_权重设置'!$A:$C,3,FALSE)</f>
        <v/>
      </c>
      <c r="L15" s="6">
        <f>VLOOKUP("w_role",'01_权重设置'!$A:$C,3,FALSE)</f>
        <v/>
      </c>
      <c r="M15" s="6">
        <f>VLOOKUP("w_mainline",'01_权重设置'!$A:$C,3,FALSE)</f>
        <v/>
      </c>
      <c r="N15" s="6">
        <f>VLOOKUP("w_confidence",'01_权重设置'!$A:$C,3,FALSE)</f>
        <v/>
      </c>
      <c r="O15" s="7">
        <f>IF(B15="excluded_transition","EXCLUDED",ROUND(E15*J15+F15*K15+G15*L15+H15*M15+I15*N15-VLOOKUP("blank_form_penalty",'01_权重设置'!$A:$C,3,FALSE)*(D15&lt;&gt;"filled"),1))</f>
        <v/>
      </c>
      <c r="P15" s="3">
        <f>IF(O15="EXCLUDED","排除",IF(O15&gt;=90,"A",IF(O15&gt;=85,"B+",IF(O15&gt;=75,"B",IF(O15&gt;=60,"C","D")))))</f>
        <v/>
      </c>
      <c r="Q15" s="3">
        <f>IF(B15="excluded_transition","不进入本轮主分析",IF(D15&lt;&gt;"filled","补齐本地评价表与证据索引",IF(I15&lt;70,"补证并复核置信度","可进入管理者校准")))</f>
        <v/>
      </c>
      <c r="R15" s="3">
        <f>IF(D15&lt;&gt;"filled","当前本地员工表为空模板，本地表分使用现有规则基线；填写后自动替换为人工评价分。","本地评价表已参与模型加权。")</f>
        <v/>
      </c>
    </row>
    <row r="16">
      <c r="A16" s="3">
        <f>'04_员工输入'!A16</f>
        <v/>
      </c>
      <c r="B16" s="3">
        <f>'04_员工输入'!C16</f>
        <v/>
      </c>
      <c r="C16" s="3">
        <f>'04_员工输入'!D16</f>
        <v/>
      </c>
      <c r="D16" s="3">
        <f>'04_员工输入'!P16</f>
        <v/>
      </c>
      <c r="E16" s="3">
        <f>IF(D16="filled",'04_员工输入'!U16,IFERROR(SUMIFS('03_映射表'!$C:$C,'03_映射表'!$A:$A,"qualitative_load",'03_映射表'!$B:$B,'04_员工输入'!F16),60))</f>
        <v/>
      </c>
      <c r="F16" s="3">
        <f>MIN(100,'04_员工输入'!J16/VLOOKUP("evidence_benchmark",'01_权重设置'!$A:$C,3,FALSE)*100)</f>
        <v/>
      </c>
      <c r="G16" s="3">
        <f>MIN(100,'04_员工输入'!H16*VLOOKUP("leader_point",'01_权重设置'!$A:$C,3,FALSE)+'04_员工输入'!I16*VLOOKUP("partner_point",'01_权重设置'!$A:$C,3,FALSE)+IF('04_员工输入'!E16="owner",VLOOKUP("owner_bonus",'01_权重设置'!$A:$C,3,FALSE),0))</f>
        <v/>
      </c>
      <c r="H16" s="3">
        <f>ROUND((F16*0.45+G16*0.25+MIN(100,'04_员工输入'!K16/VLOOKUP("project_benchmark",'01_权重设置'!$A:$C,3,FALSE)*100)*0.20+IFERROR(SUMIFS('03_映射表'!$C:$C,'03_映射表'!$A:$A,"qualitative_load",'03_映射表'!$B:$B,'04_员工输入'!F16),60)*0.10),1)</f>
        <v/>
      </c>
      <c r="I16" s="3">
        <f>MIN(100,IF(D16="filled",35,0)+IF('04_员工输入'!J16&gt;0,35,0)+IF('04_员工输入'!K16&gt;0,15,0)+IF('04_员工输入'!H16+'04_员工输入'!I16&gt;0,15,0))</f>
        <v/>
      </c>
      <c r="J16" s="6">
        <f>VLOOKUP("w_local_form",'01_权重设置'!$A:$C,3,FALSE)</f>
        <v/>
      </c>
      <c r="K16" s="6">
        <f>VLOOKUP("w_evidence",'01_权重设置'!$A:$C,3,FALSE)</f>
        <v/>
      </c>
      <c r="L16" s="6">
        <f>VLOOKUP("w_role",'01_权重设置'!$A:$C,3,FALSE)</f>
        <v/>
      </c>
      <c r="M16" s="6">
        <f>VLOOKUP("w_mainline",'01_权重设置'!$A:$C,3,FALSE)</f>
        <v/>
      </c>
      <c r="N16" s="6">
        <f>VLOOKUP("w_confidence",'01_权重设置'!$A:$C,3,FALSE)</f>
        <v/>
      </c>
      <c r="O16" s="7">
        <f>IF(B16="excluded_transition","EXCLUDED",ROUND(E16*J16+F16*K16+G16*L16+H16*M16+I16*N16-VLOOKUP("blank_form_penalty",'01_权重设置'!$A:$C,3,FALSE)*(D16&lt;&gt;"filled"),1))</f>
        <v/>
      </c>
      <c r="P16" s="3">
        <f>IF(O16="EXCLUDED","排除",IF(O16&gt;=90,"A",IF(O16&gt;=85,"B+",IF(O16&gt;=75,"B",IF(O16&gt;=60,"C","D")))))</f>
        <v/>
      </c>
      <c r="Q16" s="3">
        <f>IF(B16="excluded_transition","不进入本轮主分析",IF(D16&lt;&gt;"filled","补齐本地评价表与证据索引",IF(I16&lt;70,"补证并复核置信度","可进入管理者校准")))</f>
        <v/>
      </c>
      <c r="R16" s="3">
        <f>IF(D16&lt;&gt;"filled","当前本地员工表为空模板，本地表分使用现有规则基线；填写后自动替换为人工评价分。","本地评价表已参与模型加权。")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</cols>
  <sheetData>
    <row r="1">
      <c r="A1" s="2" t="inlineStr">
        <is>
          <t>姓名</t>
        </is>
      </c>
      <c r="B1" s="2" t="inlineStr">
        <is>
          <t>分析状态</t>
        </is>
      </c>
      <c r="C1" s="2" t="inlineStr">
        <is>
          <t>组织团队</t>
        </is>
      </c>
      <c r="D1" s="2" t="inlineStr">
        <is>
          <t>本地表状态</t>
        </is>
      </c>
      <c r="E1" s="2" t="inlineStr">
        <is>
          <t>规则/本地分</t>
        </is>
      </c>
      <c r="F1" s="2" t="inlineStr">
        <is>
          <t>证据归一分</t>
        </is>
      </c>
      <c r="G1" s="2" t="inlineStr">
        <is>
          <t>角色责任分</t>
        </is>
      </c>
      <c r="H1" s="2" t="inlineStr">
        <is>
          <t>主线贡献分</t>
        </is>
      </c>
      <c r="I1" s="2" t="inlineStr">
        <is>
          <t>证据置信分</t>
        </is>
      </c>
      <c r="J1" s="2" t="inlineStr">
        <is>
          <t>模型建议分</t>
        </is>
      </c>
      <c r="K1" s="2" t="inlineStr">
        <is>
          <t>建议档位</t>
        </is>
      </c>
      <c r="L1" s="2" t="inlineStr">
        <is>
          <t>建议动作</t>
        </is>
      </c>
    </row>
    <row r="2">
      <c r="A2" s="3" t="inlineStr">
        <is>
          <t>余宗历</t>
        </is>
      </c>
      <c r="B2" s="3" t="inlineStr">
        <is>
          <t>active</t>
        </is>
      </c>
      <c r="C2" s="3" t="inlineStr">
        <is>
          <t>领域驱动</t>
        </is>
      </c>
      <c r="D2" s="3" t="inlineStr">
        <is>
          <t>template_blank</t>
        </is>
      </c>
      <c r="E2" s="3" t="n">
        <v>78</v>
      </c>
      <c r="F2" s="3" t="n">
        <v>13</v>
      </c>
      <c r="G2" s="3" t="n">
        <v>36</v>
      </c>
      <c r="H2" s="3" t="n">
        <v>29.3</v>
      </c>
      <c r="I2" s="3" t="n">
        <v>65</v>
      </c>
      <c r="J2" s="3" t="n">
        <v>38.6</v>
      </c>
      <c r="K2" s="3" t="inlineStr">
        <is>
          <t>D</t>
        </is>
      </c>
      <c r="L2" s="3" t="inlineStr">
        <is>
          <t>补齐本地评价表与证据索引</t>
        </is>
      </c>
    </row>
    <row r="3">
      <c r="A3" s="3" t="inlineStr">
        <is>
          <t>刘锦峰</t>
        </is>
      </c>
      <c r="B3" s="3" t="inlineStr">
        <is>
          <t>active</t>
        </is>
      </c>
      <c r="C3" s="3" t="inlineStr">
        <is>
          <t>超级合作</t>
        </is>
      </c>
      <c r="D3" s="3" t="inlineStr">
        <is>
          <t>template_blank</t>
        </is>
      </c>
      <c r="E3" s="3" t="n">
        <v>68</v>
      </c>
      <c r="F3" s="3" t="n">
        <v>4</v>
      </c>
      <c r="G3" s="3" t="n">
        <v>0</v>
      </c>
      <c r="H3" s="3" t="n">
        <v>15.3</v>
      </c>
      <c r="I3" s="3" t="n">
        <v>50</v>
      </c>
      <c r="J3" s="3" t="n">
        <v>24</v>
      </c>
      <c r="K3" s="3" t="inlineStr">
        <is>
          <t>D</t>
        </is>
      </c>
      <c r="L3" s="3" t="inlineStr">
        <is>
          <t>补齐本地评价表与证据索引</t>
        </is>
      </c>
    </row>
    <row r="4">
      <c r="A4" s="3" t="inlineStr">
        <is>
          <t>孙若一</t>
        </is>
      </c>
      <c r="B4" s="3" t="inlineStr">
        <is>
          <t>active</t>
        </is>
      </c>
      <c r="C4" s="3" t="inlineStr">
        <is>
          <t>超级合作</t>
        </is>
      </c>
      <c r="D4" s="3" t="inlineStr">
        <is>
          <t>template_blank</t>
        </is>
      </c>
      <c r="E4" s="3" t="n">
        <v>68</v>
      </c>
      <c r="F4" s="3" t="n">
        <v>10</v>
      </c>
      <c r="G4" s="3" t="n">
        <v>0</v>
      </c>
      <c r="H4" s="3" t="n">
        <v>24.6</v>
      </c>
      <c r="I4" s="3" t="n">
        <v>50</v>
      </c>
      <c r="J4" s="3" t="n">
        <v>27.9</v>
      </c>
      <c r="K4" s="3" t="inlineStr">
        <is>
          <t>D</t>
        </is>
      </c>
      <c r="L4" s="3" t="inlineStr">
        <is>
          <t>补齐本地评价表与证据索引</t>
        </is>
      </c>
    </row>
    <row r="5">
      <c r="A5" s="3" t="inlineStr">
        <is>
          <t>张云豪</t>
        </is>
      </c>
      <c r="B5" s="3" t="inlineStr">
        <is>
          <t>active</t>
        </is>
      </c>
      <c r="C5" s="3" t="inlineStr">
        <is>
          <t>领域驱动</t>
        </is>
      </c>
      <c r="D5" s="3" t="inlineStr">
        <is>
          <t>template_blank</t>
        </is>
      </c>
      <c r="E5" s="3" t="n">
        <v>84</v>
      </c>
      <c r="F5" s="3" t="n">
        <v>18</v>
      </c>
      <c r="G5" s="3" t="n">
        <v>57</v>
      </c>
      <c r="H5" s="3" t="n">
        <v>50.8</v>
      </c>
      <c r="I5" s="3" t="n">
        <v>65</v>
      </c>
      <c r="J5" s="3" t="n">
        <v>49.3</v>
      </c>
      <c r="K5" s="3" t="inlineStr">
        <is>
          <t>D</t>
        </is>
      </c>
      <c r="L5" s="3" t="inlineStr">
        <is>
          <t>补齐本地评价表与证据索引</t>
        </is>
      </c>
    </row>
    <row r="6">
      <c r="A6" s="3" t="inlineStr">
        <is>
          <t>张劲</t>
        </is>
      </c>
      <c r="B6" s="3" t="inlineStr">
        <is>
          <t>active</t>
        </is>
      </c>
      <c r="C6" s="3" t="inlineStr">
        <is>
          <t>领域驱动</t>
        </is>
      </c>
      <c r="D6" s="3" t="inlineStr">
        <is>
          <t>template_blank</t>
        </is>
      </c>
      <c r="E6" s="3" t="n">
        <v>92</v>
      </c>
      <c r="F6" s="3" t="n">
        <v>34.5</v>
      </c>
      <c r="G6" s="3" t="n">
        <v>88</v>
      </c>
      <c r="H6" s="3" t="n">
        <v>60.1</v>
      </c>
      <c r="I6" s="3" t="n">
        <v>65</v>
      </c>
      <c r="J6" s="3" t="n">
        <v>63.5</v>
      </c>
      <c r="K6" s="3" t="inlineStr">
        <is>
          <t>C</t>
        </is>
      </c>
      <c r="L6" s="3" t="inlineStr">
        <is>
          <t>补齐本地评价表与证据索引</t>
        </is>
      </c>
    </row>
    <row r="7">
      <c r="A7" s="3" t="inlineStr">
        <is>
          <t>张婕</t>
        </is>
      </c>
      <c r="B7" s="3" t="inlineStr">
        <is>
          <t>excluded_transition</t>
        </is>
      </c>
      <c r="C7" s="3" t="inlineStr"/>
      <c r="D7" s="3" t="inlineStr">
        <is>
          <t>template_blank</t>
        </is>
      </c>
      <c r="E7" s="3" t="inlineStr">
        <is>
          <t>EXCLUDED</t>
        </is>
      </c>
      <c r="F7" s="3" t="inlineStr">
        <is>
          <t>EXCLUDED</t>
        </is>
      </c>
      <c r="G7" s="3" t="inlineStr">
        <is>
          <t>EXCLUDED</t>
        </is>
      </c>
      <c r="H7" s="3" t="inlineStr">
        <is>
          <t>EXCLUDED</t>
        </is>
      </c>
      <c r="I7" s="3" t="inlineStr">
        <is>
          <t>EXCLUDED</t>
        </is>
      </c>
      <c r="J7" s="3" t="inlineStr">
        <is>
          <t>EXCLUDED</t>
        </is>
      </c>
      <c r="K7" s="3" t="inlineStr">
        <is>
          <t>排除</t>
        </is>
      </c>
      <c r="L7" s="3" t="inlineStr">
        <is>
          <t>不进入本轮主分析</t>
        </is>
      </c>
    </row>
    <row r="8">
      <c r="A8" s="3" t="inlineStr">
        <is>
          <t>张帆</t>
        </is>
      </c>
      <c r="B8" s="3" t="inlineStr">
        <is>
          <t>active</t>
        </is>
      </c>
      <c r="C8" s="3" t="inlineStr">
        <is>
          <t>领域驱动</t>
        </is>
      </c>
      <c r="D8" s="3" t="inlineStr">
        <is>
          <t>template_blank</t>
        </is>
      </c>
      <c r="E8" s="3" t="n">
        <v>76</v>
      </c>
      <c r="F8" s="3" t="n">
        <v>14</v>
      </c>
      <c r="G8" s="3" t="n">
        <v>37</v>
      </c>
      <c r="H8" s="3" t="n">
        <v>29.8</v>
      </c>
      <c r="I8" s="3" t="n">
        <v>65</v>
      </c>
      <c r="J8" s="3" t="n">
        <v>38.7</v>
      </c>
      <c r="K8" s="3" t="inlineStr">
        <is>
          <t>D</t>
        </is>
      </c>
      <c r="L8" s="3" t="inlineStr">
        <is>
          <t>补齐本地评价表与证据索引</t>
        </is>
      </c>
    </row>
    <row r="9">
      <c r="A9" s="3" t="inlineStr">
        <is>
          <t>李昊星</t>
        </is>
      </c>
      <c r="B9" s="3" t="inlineStr">
        <is>
          <t>active</t>
        </is>
      </c>
      <c r="C9" s="3" t="inlineStr">
        <is>
          <t>超级合作</t>
        </is>
      </c>
      <c r="D9" s="3" t="inlineStr">
        <is>
          <t>template_blank</t>
        </is>
      </c>
      <c r="E9" s="3" t="n">
        <v>50</v>
      </c>
      <c r="F9" s="3" t="n">
        <v>3</v>
      </c>
      <c r="G9" s="3" t="n">
        <v>0</v>
      </c>
      <c r="H9" s="3" t="n">
        <v>9.699999999999999</v>
      </c>
      <c r="I9" s="3" t="n">
        <v>50</v>
      </c>
      <c r="J9" s="3" t="n">
        <v>18</v>
      </c>
      <c r="K9" s="3" t="inlineStr">
        <is>
          <t>D</t>
        </is>
      </c>
      <c r="L9" s="3" t="inlineStr">
        <is>
          <t>补齐本地评价表与证据索引</t>
        </is>
      </c>
    </row>
    <row r="10">
      <c r="A10" s="3" t="inlineStr">
        <is>
          <t>李玮</t>
        </is>
      </c>
      <c r="B10" s="3" t="inlineStr">
        <is>
          <t>active</t>
        </is>
      </c>
      <c r="C10" s="3" t="inlineStr">
        <is>
          <t>领域驱动</t>
        </is>
      </c>
      <c r="D10" s="3" t="inlineStr">
        <is>
          <t>template_blank</t>
        </is>
      </c>
      <c r="E10" s="3" t="n">
        <v>88</v>
      </c>
      <c r="F10" s="3" t="n">
        <v>76</v>
      </c>
      <c r="G10" s="3" t="n">
        <v>93</v>
      </c>
      <c r="H10" s="3" t="n">
        <v>86.2</v>
      </c>
      <c r="I10" s="3" t="n">
        <v>65</v>
      </c>
      <c r="J10" s="3" t="n">
        <v>83</v>
      </c>
      <c r="K10" s="3" t="inlineStr">
        <is>
          <t>B</t>
        </is>
      </c>
      <c r="L10" s="3" t="inlineStr">
        <is>
          <t>补齐本地评价表与证据索引</t>
        </is>
      </c>
    </row>
    <row r="11">
      <c r="A11" s="3" t="inlineStr">
        <is>
          <t>李苏南</t>
        </is>
      </c>
      <c r="B11" s="3" t="inlineStr">
        <is>
          <t>active</t>
        </is>
      </c>
      <c r="C11" s="3" t="inlineStr">
        <is>
          <t>超级合作</t>
        </is>
      </c>
      <c r="D11" s="3" t="inlineStr">
        <is>
          <t>template_blank</t>
        </is>
      </c>
      <c r="E11" s="3" t="n">
        <v>92</v>
      </c>
      <c r="F11" s="3" t="n">
        <v>58</v>
      </c>
      <c r="G11" s="3" t="n">
        <v>100</v>
      </c>
      <c r="H11" s="3" t="n">
        <v>80.3</v>
      </c>
      <c r="I11" s="3" t="n">
        <v>65</v>
      </c>
      <c r="J11" s="3" t="n">
        <v>77.59999999999999</v>
      </c>
      <c r="K11" s="3" t="inlineStr">
        <is>
          <t>B</t>
        </is>
      </c>
      <c r="L11" s="3" t="inlineStr">
        <is>
          <t>补齐本地评价表与证据索引</t>
        </is>
      </c>
    </row>
    <row r="12">
      <c r="A12" s="3" t="inlineStr">
        <is>
          <t>李颖</t>
        </is>
      </c>
      <c r="B12" s="3" t="inlineStr">
        <is>
          <t>active</t>
        </is>
      </c>
      <c r="C12" s="3" t="inlineStr">
        <is>
          <t>AI提效</t>
        </is>
      </c>
      <c r="D12" s="3" t="inlineStr">
        <is>
          <t>template_blank</t>
        </is>
      </c>
      <c r="E12" s="3" t="n">
        <v>92</v>
      </c>
      <c r="F12" s="3" t="n">
        <v>100</v>
      </c>
      <c r="G12" s="3" t="n">
        <v>68</v>
      </c>
      <c r="H12" s="3" t="n">
        <v>87.90000000000001</v>
      </c>
      <c r="I12" s="3" t="n">
        <v>65</v>
      </c>
      <c r="J12" s="3" t="n">
        <v>89</v>
      </c>
      <c r="K12" s="3" t="inlineStr">
        <is>
          <t>B+</t>
        </is>
      </c>
      <c r="L12" s="3" t="inlineStr">
        <is>
          <t>补齐本地评价表与证据索引</t>
        </is>
      </c>
    </row>
    <row r="13">
      <c r="A13" s="3" t="inlineStr">
        <is>
          <t>杜馨柯</t>
        </is>
      </c>
      <c r="B13" s="3" t="inlineStr">
        <is>
          <t>active</t>
        </is>
      </c>
      <c r="C13" s="3" t="inlineStr">
        <is>
          <t>超级合作</t>
        </is>
      </c>
      <c r="D13" s="3" t="inlineStr">
        <is>
          <t>template_blank</t>
        </is>
      </c>
      <c r="E13" s="3" t="n">
        <v>55</v>
      </c>
      <c r="F13" s="3" t="n">
        <v>0</v>
      </c>
      <c r="G13" s="3" t="n">
        <v>0</v>
      </c>
      <c r="H13" s="3" t="n">
        <v>5.5</v>
      </c>
      <c r="I13" s="3" t="n">
        <v>0</v>
      </c>
      <c r="J13" s="3" t="n">
        <v>14.8</v>
      </c>
      <c r="K13" s="3" t="inlineStr">
        <is>
          <t>D</t>
        </is>
      </c>
      <c r="L13" s="3" t="inlineStr">
        <is>
          <t>补齐本地评价表与证据索引</t>
        </is>
      </c>
    </row>
    <row r="14">
      <c r="A14" s="3" t="inlineStr">
        <is>
          <t>陈宁子</t>
        </is>
      </c>
      <c r="B14" s="3" t="inlineStr">
        <is>
          <t>active</t>
        </is>
      </c>
      <c r="C14" s="3" t="inlineStr">
        <is>
          <t>超级合作</t>
        </is>
      </c>
      <c r="D14" s="3" t="inlineStr">
        <is>
          <t>template_blank</t>
        </is>
      </c>
      <c r="E14" s="3" t="n">
        <v>55</v>
      </c>
      <c r="F14" s="3" t="n">
        <v>3</v>
      </c>
      <c r="G14" s="3" t="n">
        <v>0</v>
      </c>
      <c r="H14" s="3" t="n">
        <v>10.2</v>
      </c>
      <c r="I14" s="3" t="n">
        <v>50</v>
      </c>
      <c r="J14" s="3" t="n">
        <v>19.3</v>
      </c>
      <c r="K14" s="3" t="inlineStr">
        <is>
          <t>D</t>
        </is>
      </c>
      <c r="L14" s="3" t="inlineStr">
        <is>
          <t>补齐本地评价表与证据索引</t>
        </is>
      </c>
    </row>
    <row r="15">
      <c r="A15" s="3" t="inlineStr">
        <is>
          <t>韩康佳</t>
        </is>
      </c>
      <c r="B15" s="3" t="inlineStr">
        <is>
          <t>active</t>
        </is>
      </c>
      <c r="C15" s="3" t="inlineStr">
        <is>
          <t>领域驱动</t>
        </is>
      </c>
      <c r="D15" s="3" t="inlineStr">
        <is>
          <t>template_blank</t>
        </is>
      </c>
      <c r="E15" s="3" t="n">
        <v>80</v>
      </c>
      <c r="F15" s="3" t="n">
        <v>55.5</v>
      </c>
      <c r="G15" s="3" t="n">
        <v>44</v>
      </c>
      <c r="H15" s="3" t="n">
        <v>64</v>
      </c>
      <c r="I15" s="3" t="n">
        <v>65</v>
      </c>
      <c r="J15" s="3" t="n">
        <v>62.1</v>
      </c>
      <c r="K15" s="3" t="inlineStr">
        <is>
          <t>C</t>
        </is>
      </c>
      <c r="L15" s="3" t="inlineStr">
        <is>
          <t>补齐本地评价表与证据索引</t>
        </is>
      </c>
    </row>
    <row r="16">
      <c r="A16" s="3" t="inlineStr">
        <is>
          <t>顾颖芝</t>
        </is>
      </c>
      <c r="B16" s="3" t="inlineStr">
        <is>
          <t>active</t>
        </is>
      </c>
      <c r="C16" s="3" t="inlineStr">
        <is>
          <t>领域驱动</t>
        </is>
      </c>
      <c r="D16" s="3" t="inlineStr">
        <is>
          <t>template_blank</t>
        </is>
      </c>
      <c r="E16" s="3" t="n">
        <v>84</v>
      </c>
      <c r="F16" s="3" t="n">
        <v>13</v>
      </c>
      <c r="G16" s="3" t="n">
        <v>64</v>
      </c>
      <c r="H16" s="3" t="n">
        <v>43.6</v>
      </c>
      <c r="I16" s="3" t="n">
        <v>65</v>
      </c>
      <c r="J16" s="3" t="n">
        <v>47.1</v>
      </c>
      <c r="K16" s="3" t="inlineStr">
        <is>
          <t>D</t>
        </is>
      </c>
      <c r="L16" s="3" t="inlineStr">
        <is>
          <t>补齐本地评价表与证据索引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40" customWidth="1" min="4" max="4"/>
    <col width="10" customWidth="1" min="5" max="5"/>
  </cols>
  <sheetData>
    <row r="1">
      <c r="A1" s="2" t="inlineStr">
        <is>
          <t>版本</t>
        </is>
      </c>
      <c r="B1" s="2" t="inlineStr">
        <is>
          <t>日期</t>
        </is>
      </c>
      <c r="C1" s="2" t="inlineStr">
        <is>
          <t>作者</t>
        </is>
      </c>
      <c r="D1" s="2" t="inlineStr">
        <is>
          <t>变更内容</t>
        </is>
      </c>
      <c r="E1" s="2" t="inlineStr">
        <is>
          <t>兼容性</t>
        </is>
      </c>
    </row>
    <row r="2">
      <c r="A2" s="3" t="inlineStr">
        <is>
          <t>0.1</t>
        </is>
      </c>
      <c r="B2" s="3" t="inlineStr">
        <is>
          <t>2026-07-07</t>
        </is>
      </c>
      <c r="C2" s="3" t="inlineStr">
        <is>
          <t>Codex</t>
        </is>
      </c>
      <c r="D2" s="3" t="inlineStr">
        <is>
          <t>建立小范围绩效评分 YAML 草案，完成李颖样本审计。</t>
        </is>
      </c>
      <c r="E2" s="3" t="inlineStr">
        <is>
          <t>文档模型</t>
        </is>
      </c>
    </row>
    <row r="3">
      <c r="A3" s="3" t="inlineStr">
        <is>
          <t>0.2</t>
        </is>
      </c>
      <c r="B3" s="3" t="inlineStr">
        <is>
          <t>2026-07-08</t>
        </is>
      </c>
      <c r="C3" s="3" t="inlineStr">
        <is>
          <t>Codex</t>
        </is>
      </c>
      <c r="D3" s="3" t="inlineStr">
        <is>
          <t>生成可调权重 Excel 模型，接入本地员工评价表模板、云端证据和组织角色。</t>
        </is>
      </c>
      <c r="E3" s="3" t="inlineStr">
        <is>
          <t>可重算模型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2026-07-08T02:36:19Z</dcterms:created>
  <dcterms:modified xmlns:dcterms="http://purl.org/dc/terms/" xmlns:xsi="http://www.w3.org/2001/XMLSchema-instance" xsi:type="dcterms:W3CDTF">2026-07-08T02:36:19Z</dcterms:modified>
</cp:coreProperties>
</file>